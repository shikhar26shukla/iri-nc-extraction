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externalReferences>
    <externalReference r:id="rId4"/>
  </externalReferences>
  <definedNames>
    <definedName function="false" hidden="true" localSheetId="0" name="_xlnm._FilterDatabase" vbProcedure="false">Sheet1!$A$1:$H$379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<sst xmlns="http://schemas.openxmlformats.org/spreadsheetml/2006/main" count="767" uniqueCount="334">
  <si>
    <t xml:space="preserve">Sr No</t>
  </si>
  <si>
    <t xml:space="preserve">Date</t>
  </si>
  <si>
    <t xml:space="preserve">Particulars</t>
  </si>
  <si>
    <t xml:space="preserve">IRIS</t>
  </si>
  <si>
    <t xml:space="preserve">Payments</t>
  </si>
  <si>
    <t xml:space="preserve">Receipts</t>
  </si>
  <si>
    <t xml:space="preserve">Counter Credit</t>
  </si>
  <si>
    <t xml:space="preserve">Ebay Commerce Uk L    	Ebay Microdeposit Bg</t>
  </si>
  <si>
    <t xml:space="preserve">Unpaid</t>
  </si>
  <si>
    <t xml:space="preserve">Ebay Commerce Uk L    	Mrn22318562092 Unp	</t>
  </si>
  <si>
    <t xml:space="preserve">Ebay Commerce Uk L    	P*5947112312 Bgc	</t>
  </si>
  <si>
    <t xml:space="preserve">Ebay Commerce Uk L    	P*6050347040 Bgc	</t>
  </si>
  <si>
    <t xml:space="preserve">Ebay Commerce Uk L    	P*6064159016 Bgc	</t>
  </si>
  <si>
    <t xml:space="preserve">Credit</t>
  </si>
  <si>
    <t xml:space="preserve">Ebay O*01-09619-18    	On 23 Jan Bdc	</t>
  </si>
  <si>
    <t xml:space="preserve">Ebay O*02-09604-37    	On 23 Jan Bdc	</t>
  </si>
  <si>
    <t xml:space="preserve">Ebay O*051045202    	On 23 Aug Bdc	</t>
  </si>
  <si>
    <t xml:space="preserve">Ebay O*061068408    	On 19 Oct Bdc	</t>
  </si>
  <si>
    <t xml:space="preserve">Ebay O*101042524    	On 17 Aug Bdc	</t>
  </si>
  <si>
    <t xml:space="preserve">S W Motor Factors     	On 21 Feb Bdc	</t>
  </si>
  <si>
    <t xml:space="preserve">54 Total</t>
  </si>
  <si>
    <t xml:space="preserve">Evans N R             	N Evans Tax Bgc	</t>
  </si>
  <si>
    <t xml:space="preserve">Credit Payment</t>
  </si>
  <si>
    <t xml:space="preserve">Loyalty Reward        	13 Dec - 12 Jan	</t>
  </si>
  <si>
    <t xml:space="preserve">Loyalty Reward        	13 Feb - 12 Mar	</t>
  </si>
  <si>
    <t xml:space="preserve">Loyalty Reward        	13 Jan - 12 Feb	</t>
  </si>
  <si>
    <t xml:space="preserve">Loyalty Reward        	13 Mar - 12 Apr	</t>
  </si>
  <si>
    <t xml:space="preserve">Loyalty Reward        	17 Nov - 12 Dec	</t>
  </si>
  <si>
    <t xml:space="preserve">N Brown               	Registration Bgc	</t>
  </si>
  <si>
    <t xml:space="preserve">Neil Warriner         	Reg Bgc	</t>
  </si>
  <si>
    <t xml:space="preserve">Funds Transfer</t>
  </si>
  <si>
    <t xml:space="preserve">T Bry Riggin          	Tax Ft	</t>
  </si>
  <si>
    <t xml:space="preserve">Total Waste Manage    	On 02 Oct Bdc	</t>
  </si>
  <si>
    <t xml:space="preserve">Total Waste Manage    	On 06 Jan Bdc	</t>
  </si>
  <si>
    <t xml:space="preserve">Total Waste Manage    	On 06 Jul Bdc	</t>
  </si>
  <si>
    <t xml:space="preserve">Total Waste Manage    	On 11 Oct Bdc	</t>
  </si>
  <si>
    <t xml:space="preserve">Total Waste Manage    	On 20 Oct Bdc	</t>
  </si>
  <si>
    <t xml:space="preserve">Total Waste Manage    	On 22 Aug Bdc	</t>
  </si>
  <si>
    <t xml:space="preserve">Total Waste Manage    	On 24 Aug Bdc	</t>
  </si>
  <si>
    <t xml:space="preserve">Total Waste Manage    	On 25 Aug Bdc	</t>
  </si>
  <si>
    <t xml:space="preserve">Total Waste Manage    	On 25 Sep Bdc	</t>
  </si>
  <si>
    <t xml:space="preserve">Total Waste Manage    	On 27 Jul Bdc	</t>
  </si>
  <si>
    <t xml:space="preserve">Total Waste Manage    	On 27 Oct Bdc	</t>
  </si>
  <si>
    <t xml:space="preserve">Total Waste Manage    	On 27 Sep Bdc	</t>
  </si>
  <si>
    <t xml:space="preserve">Total Waste Manage    	On 28 Jun Bdc	</t>
  </si>
  <si>
    <t xml:space="preserve">Total Waste Manage    	On 28 Sep Bdc	</t>
  </si>
  <si>
    <t xml:space="preserve">Total Waste Manage    	On 31 May Bdc	</t>
  </si>
  <si>
    <t xml:space="preserve">92 Total</t>
  </si>
  <si>
    <t xml:space="preserve">Amz*Yosikcaes Jewe    	On 06 May Bdc	</t>
  </si>
  <si>
    <t xml:space="preserve">Amz*Yosikcaes Jewe    	On 11 May Bdc	</t>
  </si>
  <si>
    <t xml:space="preserve">Anastassia Offei      	Ea11 Tww Bgc	</t>
  </si>
  <si>
    <t xml:space="preserve">Asif Ahmed            	Volkswgen Gl62 Gdy Bg</t>
  </si>
  <si>
    <t xml:space="preserve">C Okoro Aroh          	Deposit  Gu12Cva Bgc</t>
  </si>
  <si>
    <t xml:space="preserve">Ebay Commerce Uk L    	On 12 Sep Bdc	</t>
  </si>
  <si>
    <t xml:space="preserve">Ebay O*05-09565-42    	On 10 Jan Bdc	</t>
  </si>
  <si>
    <t xml:space="preserve">Pennington Gj         	Ls08Ebx Ft	</t>
  </si>
  <si>
    <t xml:space="preserve">235 Total</t>
  </si>
  <si>
    <t xml:space="preserve">Paypal *Uber Eats     	On 03 Sep Bdc	</t>
  </si>
  <si>
    <t xml:space="preserve">261 Total</t>
  </si>
  <si>
    <t xml:space="preserve">Auto Trader           	On 13 Apr Bdc	</t>
  </si>
  <si>
    <t xml:space="preserve">265 Total</t>
  </si>
  <si>
    <t xml:space="preserve">Account Fee Refund    	Gadbrook Park	</t>
  </si>
  <si>
    <t xml:space="preserve">378 Total</t>
  </si>
  <si>
    <t xml:space="preserve">A Goshine             	Hv09Vpj Bgc	</t>
  </si>
  <si>
    <t xml:space="preserve">A Kalafatis           	Rj09Uvl Bgc	</t>
  </si>
  <si>
    <t xml:space="preserve">A Mashipe             	Fy57 Lfg Bgc	</t>
  </si>
  <si>
    <t xml:space="preserve">A Saxon               	Bv13Rvj Bgc	</t>
  </si>
  <si>
    <t xml:space="preserve">A Smith               	Pj07Lbf Bgc	</t>
  </si>
  <si>
    <t xml:space="preserve">Alexei David          	Fy08Uzu Bgc	</t>
  </si>
  <si>
    <t xml:space="preserve">Ali Sarah             	Sarah Ali Bgc	</t>
  </si>
  <si>
    <t xml:space="preserve">Alli-Balogun Okonl    	Kt55Hxv Bgc	</t>
  </si>
  <si>
    <t xml:space="preserve">Altun M V01           	Mw61Oxc Bgc	</t>
  </si>
  <si>
    <t xml:space="preserve">Andrea Morris         	Lx14Xmh Bgc	</t>
  </si>
  <si>
    <t xml:space="preserve">Anning Sheryl         	Toyota Aygo Bgc	 GU12CVA</t>
  </si>
  <si>
    <t xml:space="preserve">Austin/Farrar         	Rey Bgc	</t>
  </si>
  <si>
    <t xml:space="preserve">B Kosegbe             	Hv58Yjy Bgc	</t>
  </si>
  <si>
    <t xml:space="preserve">B Tache Bgc           	B Tache Bgc		</t>
  </si>
  <si>
    <t xml:space="preserve">Barnes Helen          	Jimmy Bgc	</t>
  </si>
  <si>
    <t xml:space="preserve">Ben Chapman           	Bk58Ohz Bgc	</t>
  </si>
  <si>
    <t xml:space="preserve">Benge M+D             	Bf07 Enx Ft	</t>
  </si>
  <si>
    <t xml:space="preserve">Bentley J J           	Re58Uyl Jamie Bgc	</t>
  </si>
  <si>
    <t xml:space="preserve">Bouchouitk A          	Gu62Nof Ft	</t>
  </si>
  <si>
    <t xml:space="preserve">Bozhilov B            	Bd59Pdv Bgc	</t>
  </si>
  <si>
    <t xml:space="preserve">Brown Eo              	Wj57 Uxt Bgc	</t>
  </si>
  <si>
    <t xml:space="preserve">Busairi N             	Fl57Dxc Bgc	</t>
  </si>
  <si>
    <t xml:space="preserve">Byles E C             	Zafira. Emma Byles Ft DS60FWG</t>
  </si>
  <si>
    <t xml:space="preserve">C Benford             	Av62Lzf Bgc	</t>
  </si>
  <si>
    <t xml:space="preserve">C Daviestrainer      	Lv13Ugr Bgc	</t>
  </si>
  <si>
    <t xml:space="preserve">C. Jones              	Wr12 Hmh Bgc	</t>
  </si>
  <si>
    <t xml:space="preserve">Callaghan K           	Gf20 Shj Bgc	</t>
  </si>
  <si>
    <t xml:space="preserve">Campbell Flanagan     	Wm10 Obs Bgc	</t>
  </si>
  <si>
    <t xml:space="preserve">Charles Carne Bgc     	Charles Carne Bgc		</t>
  </si>
  <si>
    <t xml:space="preserve">Charles Farrarbel    	Seat Ibiza Bgc	YY54OJF</t>
  </si>
  <si>
    <t xml:space="preserve">Charlie Loughbridg    	Mk58 Pke Bgc	</t>
  </si>
  <si>
    <t xml:space="preserve">Christopher Miskin    	Ls08Ebx Bgc	</t>
  </si>
  <si>
    <t xml:space="preserve">Connor Sa             	Gl08Mxx Fiat Bgc	</t>
  </si>
  <si>
    <t xml:space="preserve">Cooksey Jg            	Eo09 Eyb Bgc	</t>
  </si>
  <si>
    <t xml:space="preserve">Coste F               	Kr07 Tbx Ft	</t>
  </si>
  <si>
    <t xml:space="preserve">Cox Ld                	Ny14Flz Bgc	</t>
  </si>
  <si>
    <t xml:space="preserve">Craigcoombs          	Df13Zvy Ft	</t>
  </si>
  <si>
    <t xml:space="preserve">Cummins D             	Ra07 Wnz Ft	</t>
  </si>
  <si>
    <t xml:space="preserve">D Ahmed               	Hv13Ohr Bgc	</t>
  </si>
  <si>
    <t xml:space="preserve">D Hayes               	En63 Rzu- Dawn Bgc	</t>
  </si>
  <si>
    <t xml:space="preserve">D Horn                	Suzuki Alto Bgc	KP14LAE</t>
  </si>
  <si>
    <t xml:space="preserve">D Lindsay Bgc         	D Lindsay Bgc		LA59HKY</t>
  </si>
  <si>
    <t xml:space="preserve">D Mahachi             	Ck58Bsu Bgc	</t>
  </si>
  <si>
    <t xml:space="preserve">D Mziyabantu          	Yx58Jwl Bgc	</t>
  </si>
  <si>
    <t xml:space="preserve">D Wilson Bgc          	D Wilson Bgc		</t>
  </si>
  <si>
    <t xml:space="preserve">D Wilson Bgc          	D Wilson Bgc		 GL06GFZ</t>
  </si>
  <si>
    <t xml:space="preserve">Darren Vincent        	Ck61 Njv Bgc	</t>
  </si>
  <si>
    <t xml:space="preserve">Davide Delli Carri    	Ford Ka Gj13Rwv Bgc	</t>
  </si>
  <si>
    <t xml:space="preserve">Dearman B             	Gl62 Wc Bgc	</t>
  </si>
  <si>
    <t xml:space="preserve">Derrett Ja +          	Bf59Uge Ft	</t>
  </si>
  <si>
    <t xml:space="preserve">Dhliwayo F S          	Gj08Ymt Bgc	</t>
  </si>
  <si>
    <t xml:space="preserve">Douglas Nairn         	Fm13Bve Bgc	</t>
  </si>
  <si>
    <t xml:space="preserve">Drew As               	Lp60 Num Bgc	</t>
  </si>
  <si>
    <t xml:space="preserve">Drew S &amp; J            	Lp60 Num Bgc	</t>
  </si>
  <si>
    <t xml:space="preserve">Drew S &amp; J            	Lp60Num Bgc	</t>
  </si>
  <si>
    <t xml:space="preserve">Dytlow F              	Yy07Hwt Ft	</t>
  </si>
  <si>
    <t xml:space="preserve">E Daviestrainer      	Lv13Ugr Bgc	</t>
  </si>
  <si>
    <t xml:space="preserve">E Udenka              	Registration Bgc	 CX60XWP</t>
  </si>
  <si>
    <t xml:space="preserve">Epsom C               	R577Uld Ft	</t>
  </si>
  <si>
    <t xml:space="preserve">Families First (No    	Inv0002 Bgc	</t>
  </si>
  <si>
    <t xml:space="preserve">Families First (No    	Inv0002 Deposit Bgc	</t>
  </si>
  <si>
    <t xml:space="preserve">Feeney J E S          	Mk08 Ugo Bgc	</t>
  </si>
  <si>
    <t xml:space="preserve">First Response Fin    	E03A2285/Lr15Rua Bgc	</t>
  </si>
  <si>
    <t xml:space="preserve">Fry C                 	Gy13 Wcv Ft	</t>
  </si>
  <si>
    <t xml:space="preserve">G Adadey              	Dy13 Ext Bgc	</t>
  </si>
  <si>
    <t xml:space="preserve">G Hooper              	Ro06 Pyp Bgc	</t>
  </si>
  <si>
    <t xml:space="preserve">Gabriel Stefan        	Eo58Znz Bgc	</t>
  </si>
  <si>
    <t xml:space="preserve">George Martin         	Hy13Hpo Bgc	</t>
  </si>
  <si>
    <t xml:space="preserve">Gibson Pr             	Gibson Mini Bgc	</t>
  </si>
  <si>
    <t xml:space="preserve">Giuliana Zussa        	Registration Bgc	EO13WBD</t>
  </si>
  <si>
    <t xml:space="preserve">Gulen Raif            	Ro62Rdg Bgc	</t>
  </si>
  <si>
    <t xml:space="preserve">Gyedu R               	Kv10 Nvf Ft	</t>
  </si>
  <si>
    <t xml:space="preserve">H Downes              	Car Bgc	</t>
  </si>
  <si>
    <t xml:space="preserve">H Downes              	Deposit Bgc	</t>
  </si>
  <si>
    <t xml:space="preserve">Hammant K             	Nc58Eoo Bgc	</t>
  </si>
  <si>
    <t xml:space="preserve">Harnett C C &amp; A P     	Lm58Hta Bgc	</t>
  </si>
  <si>
    <t xml:space="preserve">Transfer</t>
  </si>
  <si>
    <t xml:space="preserve">Harries E             	Vw Caddy Tfr	</t>
  </si>
  <si>
    <t xml:space="preserve">Harries E             	Vw Caddy Tft	</t>
  </si>
  <si>
    <t xml:space="preserve">Harrison R            	Gk14Ccy Ft	</t>
  </si>
  <si>
    <t xml:space="preserve">Hill Miss K           	Hv59Vnz Bgc	</t>
  </si>
  <si>
    <t xml:space="preserve">Hill Sj               	Kio Soul White Bgc	LP59NZC</t>
  </si>
  <si>
    <t xml:space="preserve">Hill Sj               	Lp59Nzc Ft	</t>
  </si>
  <si>
    <t xml:space="preserve">Holland M             	Av62Lzf Ft	</t>
  </si>
  <si>
    <t xml:space="preserve">I Deidda              	Kt64Fvl Bgc	</t>
  </si>
  <si>
    <t xml:space="preserve">I2 Group Limited      	Connect Yf12 Bup Bgc	</t>
  </si>
  <si>
    <t xml:space="preserve">J Eyles               	Car Reg Eu14 Szp Bgc	</t>
  </si>
  <si>
    <t xml:space="preserve">J Green               	Rk07 0Pf Bgc	</t>
  </si>
  <si>
    <t xml:space="preserve">J Green               	Rk07 Opf Bgc	</t>
  </si>
  <si>
    <t xml:space="preserve">J Stallard            	Hk62Nlz Bgc	</t>
  </si>
  <si>
    <t xml:space="preserve">J Torabi Bgc          	J Torabi Bgc		EA11TWW</t>
  </si>
  <si>
    <t xml:space="preserve">J Valentine           	Kn58Kya Bgc	</t>
  </si>
  <si>
    <t xml:space="preserve">James Parrack         	Ek59 Xpr Bgc	</t>
  </si>
  <si>
    <t xml:space="preserve">Jawad Zeidan          	Registration Bgc	</t>
  </si>
  <si>
    <t xml:space="preserve">Jerome D E            	Sk10 Tyu Bgc	</t>
  </si>
  <si>
    <t xml:space="preserve">John Charles          	Lg08Lpe Bgc	</t>
  </si>
  <si>
    <t xml:space="preserve">Jordan Delapperall    	R577 Uld Bgc	</t>
  </si>
  <si>
    <t xml:space="preserve">Julie Meades          	Deposit White Fies Bg FE12OVP</t>
  </si>
  <si>
    <t xml:space="preserve">Jumatate S N          	Registration Bgc	MA14JFJ</t>
  </si>
  <si>
    <t xml:space="preserve">Jupa G                	Y942 Wkk Tft	</t>
  </si>
  <si>
    <t xml:space="preserve">K Babington           	Pl54 Fwm Bgc	</t>
  </si>
  <si>
    <t xml:space="preserve">K Bhalroo             	Sw12 Hbj Bgc	</t>
  </si>
  <si>
    <t xml:space="preserve">K Church              	V011Eje Bgc	</t>
  </si>
  <si>
    <t xml:space="preserve">K Hammant             	Nc58Eoo Bgc	</t>
  </si>
  <si>
    <t xml:space="preserve">K Nikolaidis          	Kt64Fvl Bgc	</t>
  </si>
  <si>
    <t xml:space="preserve">Kasongo M C           	Land Rover Re53Lta Bg</t>
  </si>
  <si>
    <t xml:space="preserve">Katie Louise Pullm    	Ck63Mys Bgc	</t>
  </si>
  <si>
    <t xml:space="preserve">Katie Louise Pullm    	Ck63Mys Kpullman Bgc	</t>
  </si>
  <si>
    <t xml:space="preserve">Kellard Kc            	Eo57 Fpk Ft	</t>
  </si>
  <si>
    <t xml:space="preserve">Kieran Louis          	Gl62 Gdy Bgc	</t>
  </si>
  <si>
    <t xml:space="preserve">Koji-Paton N          	Seat Leon Bgc	 KW59JYD</t>
  </si>
  <si>
    <t xml:space="preserve">Kristine Millereb    	Reg Rk59 Unf Bgc	</t>
  </si>
  <si>
    <t xml:space="preserve">Krzysztof Kaleta      	Pf07Zps Bgc	</t>
  </si>
  <si>
    <t xml:space="preserve">Kumarasingam R        	Ln16Wds Bgc	</t>
  </si>
  <si>
    <t xml:space="preserve">L Brown               	Reg Ln63Pzj Bgc	</t>
  </si>
  <si>
    <t xml:space="preserve">L Dailly              	Dl17 Daa Bgc	</t>
  </si>
  <si>
    <t xml:space="preserve">L Hammant Bgc         	L Hammant Bgc	NC58Eoo	</t>
  </si>
  <si>
    <t xml:space="preserve">L Harvey              	Fh57 Ojn Bgc	</t>
  </si>
  <si>
    <t xml:space="preserve">L Jaiteh              	Ao59 Zlk Bgc	</t>
  </si>
  <si>
    <t xml:space="preserve">Lagnado E A           	Mazda Ft	KD07OEA</t>
  </si>
  <si>
    <t xml:space="preserve">Lake T                	Wp14 Wnc Ft	</t>
  </si>
  <si>
    <t xml:space="preserve">Laura Horne           	Wu63 Vhk Bgc	</t>
  </si>
  <si>
    <t xml:space="preserve">Lawren J Bus          	Wg12 Kfj. Citroen Ft	</t>
  </si>
  <si>
    <t xml:space="preserve">Lee Dg                	Aj11Mdx Ft	</t>
  </si>
  <si>
    <t xml:space="preserve">Lewis Dr              	Pl10Cvp Bgc	</t>
  </si>
  <si>
    <t xml:space="preserve">Liakot Ali            	Nd11Fpa Bgc	</t>
  </si>
  <si>
    <t xml:space="preserve">Lincesmith Mark      	Mark Bgc	</t>
  </si>
  <si>
    <t xml:space="preserve">Lloyd Warn            	Lv12 Pxk Bgc	</t>
  </si>
  <si>
    <t xml:space="preserve">M Alyan               	Ft63 Soa Bgc	</t>
  </si>
  <si>
    <t xml:space="preserve">M Dumitru             	Mariana Toyota Ayg Bg LT60GNU</t>
  </si>
  <si>
    <t xml:space="preserve">M Fowler              	Transit Connect Bk Bg YF12BUP</t>
  </si>
  <si>
    <t xml:space="preserve">M French              	Fd62Zfs Bgc	</t>
  </si>
  <si>
    <t xml:space="preserve">M Jaiteh              	Hold Deposit Bgc	 Ao59zlk</t>
  </si>
  <si>
    <t xml:space="preserve">M Stone               	Nc57 Ujt Corsa Bgc	</t>
  </si>
  <si>
    <t xml:space="preserve">Mark Saville          	Au11Yrv Bgc	</t>
  </si>
  <si>
    <t xml:space="preserve">Marquel Edwards       	Car Vauxhall Adam Bgc Lm63RTu</t>
  </si>
  <si>
    <t xml:space="preserve">Marquel Edwards       	Lm63Rtu Bgc	</t>
  </si>
  <si>
    <t xml:space="preserve">Marshall Sarah        	Car Ozzy Bgc	MV13HXV</t>
  </si>
  <si>
    <t xml:space="preserve">Marston L             	Gk14Ccy Ft	</t>
  </si>
  <si>
    <t xml:space="preserve">Maskell L M A         	Y707Hhplupo Ft	</t>
  </si>
  <si>
    <t xml:space="preserve">Mason Chloe           	Hn58Uzf Bgc	</t>
  </si>
  <si>
    <t xml:space="preserve">Mason Donald          	6/06/2023 Bgc	 EY12UCV</t>
  </si>
  <si>
    <t xml:space="preserve">Mason Donald          	6/06/2023 Bgc	EY12UCV</t>
  </si>
  <si>
    <t xml:space="preserve">Meades Mj             	Fe12Ovp Ft	</t>
  </si>
  <si>
    <t xml:space="preserve">Meason F R            	Alex Canham Bgc	</t>
  </si>
  <si>
    <t xml:space="preserve">Melanie Weldon        	Melissa Weldon Bgc	Fh57ojn</t>
  </si>
  <si>
    <t xml:space="preserve">Mhs Lond Ltd          	Mw21Ocx Ft	</t>
  </si>
  <si>
    <t xml:space="preserve">Michelle White        	Car Bgc	</t>
  </si>
  <si>
    <t xml:space="preserve">Milton Ac A           	Sh58Pbz Bgc	</t>
  </si>
  <si>
    <t xml:space="preserve">Misha Haycock         	Mt10Fnf Bgc	</t>
  </si>
  <si>
    <t xml:space="preserve">Mitchell J&amp;T          	Ls11Ywu Bgc	</t>
  </si>
  <si>
    <t xml:space="preserve">Mitchell J&amp;T          	Registration Bgc LS11YWU</t>
  </si>
  <si>
    <t xml:space="preserve">Mr M Darkins          	Oeo5Ytt Bgc	</t>
  </si>
  <si>
    <t xml:space="preserve">Mr T Hills            	Focus Bgc	</t>
  </si>
  <si>
    <t xml:space="preserve">Mureithi Sn           	Lo59 Vvp Ft	</t>
  </si>
  <si>
    <t xml:space="preserve">Murphy Mt             	Registration Ft	RA07WNZ</t>
  </si>
  <si>
    <t xml:space="preserve">Murray Finesilver     	Gu19 Fml Bgc	</t>
  </si>
  <si>
    <t xml:space="preserve">N And K West          	Wp14Wnc Ft	</t>
  </si>
  <si>
    <t xml:space="preserve">N Tokely              	Gl08 Mxx Bgc	</t>
  </si>
  <si>
    <t xml:space="preserve">Norbury P             	Ld64Vwn Bgc	</t>
  </si>
  <si>
    <t xml:space="preserve">Nyathi Zibani         	Kv14Bwn Bgc	</t>
  </si>
  <si>
    <t xml:space="preserve">O Pilkington          	Ll08 Pyy Balance Bgc	</t>
  </si>
  <si>
    <t xml:space="preserve">O Pilkington          	Ll08 Pyy Deposit Bgc	</t>
  </si>
  <si>
    <t xml:space="preserve">O Pryde               	Fy13 Ual Bgc	</t>
  </si>
  <si>
    <t xml:space="preserve">Okorie Mi             	Lt13Aow Ft	</t>
  </si>
  <si>
    <t xml:space="preserve">Olaifa K M            	Rj55Fwe Ft	</t>
  </si>
  <si>
    <t xml:space="preserve">Olasunkanmi Thomas    	Mw08Gze Balance Bgc	</t>
  </si>
  <si>
    <t xml:space="preserve">Olasunkanmi Thomas    	Mw08Gze Bgc	</t>
  </si>
  <si>
    <t xml:space="preserve">Oliver Pryde          	Au60 Xtz Bgc	</t>
  </si>
  <si>
    <t xml:space="preserve">Oliver Pryde          	Fr13 Ymw Bgc	</t>
  </si>
  <si>
    <t xml:space="preserve">P Stiff               	W558Seh Bgc	</t>
  </si>
  <si>
    <t xml:space="preserve">P Thompson            	Clio Balance Bgc	 WP15FBD</t>
  </si>
  <si>
    <t xml:space="preserve">P Thompson            	Clio Deposit Bgc	 WP15FBD</t>
  </si>
  <si>
    <t xml:space="preserve">Parker J L            	Ce55 Zdw Bgc	</t>
  </si>
  <si>
    <t xml:space="preserve">Paul Ingle            	Registration Bgc	</t>
  </si>
  <si>
    <t xml:space="preserve">Payne Morgan          	Registration Bgc	EA10HXZ</t>
  </si>
  <si>
    <t xml:space="preserve">Pereira Nelio         	Car Company Bgc	</t>
  </si>
  <si>
    <t xml:space="preserve">Perry Ld              	Hv59Vnz Bgc	</t>
  </si>
  <si>
    <t xml:space="preserve">Peter Johnson         	Registration Bgc	AF58OHV</t>
  </si>
  <si>
    <t xml:space="preserve">Philip Langford       	Hv14 Myj Bgc	</t>
  </si>
  <si>
    <t xml:space="preserve">Pournasrol Am         	Pl08Eou Ft	</t>
  </si>
  <si>
    <t xml:space="preserve">Powell E D            	Lx59 Pof Ft	</t>
  </si>
  <si>
    <t xml:space="preserve">R Bibi                	Sv62Xwe Bgc	</t>
  </si>
  <si>
    <t xml:space="preserve">R Codrington          	Lm07Fxe Bgc	</t>
  </si>
  <si>
    <t xml:space="preserve">Ralls K A             	Ln57 Onh Ft	</t>
  </si>
  <si>
    <t xml:space="preserve">Rebecca Burnside      	Yg13 Xsy Bgc	</t>
  </si>
  <si>
    <t xml:space="preserve">Redcorn Ltd           	Vu55Oxt Bgc	</t>
  </si>
  <si>
    <t xml:space="preserve">Richard Maclean       	Chase Bgc	 FR13XUS</t>
  </si>
  <si>
    <t xml:space="preserve">Ripley Pa Plf         	Ek12Vxb Ft	</t>
  </si>
  <si>
    <t xml:space="preserve">Rippin Aa             	Ck61 Njv Bgc	</t>
  </si>
  <si>
    <t xml:space="preserve">Rowley Ma             	Ka Bgc	 CK59KKO</t>
  </si>
  <si>
    <t xml:space="preserve">Rutter Paul           	Chloe Car Bgc	</t>
  </si>
  <si>
    <t xml:space="preserve">S Haider              	Cy60Fet Bgc	</t>
  </si>
  <si>
    <t xml:space="preserve">S Palmer              	Ex62Owb Bgc	</t>
  </si>
  <si>
    <t xml:space="preserve">Sarah Barnes          	W20 Mjf Bgc	</t>
  </si>
  <si>
    <t xml:space="preserve">Sawyerr R N A         	Aj12Pua  1 Of 2 Ft	</t>
  </si>
  <si>
    <t xml:space="preserve">Sawyerr R N A         	Aj12Pua 2 Of 2 Ft	</t>
  </si>
  <si>
    <t xml:space="preserve">Scott Aj              	Hj62 Ntf Bgc	</t>
  </si>
  <si>
    <t xml:space="preserve">Seager Cameron        	Gf61 Gkd Bgc	</t>
  </si>
  <si>
    <t xml:space="preserve">Shakila Karim         	Shakila Kia Rio Bgc	</t>
  </si>
  <si>
    <t xml:space="preserve">Sheen M M             	Sa62Vwx Bgc	</t>
  </si>
  <si>
    <t xml:space="preserve">Smith Kevin J         	Ll08Yxg Ft	</t>
  </si>
  <si>
    <t xml:space="preserve">Smith M               	Ey64Fmk Bgc	</t>
  </si>
  <si>
    <t xml:space="preserve">Spence C+J Pf         	Fiat Hv59 Hbb Ft	</t>
  </si>
  <si>
    <t xml:space="preserve">Stallard Construct    	Hk62Nlz Bgc	</t>
  </si>
  <si>
    <t xml:space="preserve">Stroud C M D          	Ad07 Knz Ft	</t>
  </si>
  <si>
    <t xml:space="preserve">Sundip Sidhu Bgc      	Sundip Sidhu Bgc		 ML09OWM</t>
  </si>
  <si>
    <t xml:space="preserve">T Palmer              	Ex62 Owb Bgc	</t>
  </si>
  <si>
    <t xml:space="preserve">T Wigmore             	Mw61 Svr Bgc	</t>
  </si>
  <si>
    <t xml:space="preserve">Taylor Dawn           	Gk08 Odu Bgc	</t>
  </si>
  <si>
    <t xml:space="preserve">Taylor P H            	Ks59Xre Ft	</t>
  </si>
  <si>
    <t xml:space="preserve">Tebb C &amp; S            	Ford Ka Payment Bgc	</t>
  </si>
  <si>
    <t xml:space="preserve">Tebb C &amp; S            	Ford Ka/Sarah Bgc	</t>
  </si>
  <si>
    <t xml:space="preserve">Terry R Caa           	Wf56Udo Bgc	</t>
  </si>
  <si>
    <t xml:space="preserve">Thamsuhang A          	Ea10Xry Bgc	</t>
  </si>
  <si>
    <t xml:space="preserve">Thurstonmc S         	Ly07Vve Bgc	</t>
  </si>
  <si>
    <t xml:space="preserve">Total Waste Manage    	On 05 Apr Bdc	</t>
  </si>
  <si>
    <t xml:space="preserve">Total Waste Manage    	On 12 Jan Bdc	</t>
  </si>
  <si>
    <t xml:space="preserve">Total Waste Manage    	On 15 Mar Bdc	</t>
  </si>
  <si>
    <t xml:space="preserve">Total Waste Manage    	On 20 Dec Bdc	</t>
  </si>
  <si>
    <t xml:space="preserve">Total Waste Manage    	On 21 Apr Bdc	</t>
  </si>
  <si>
    <t xml:space="preserve">Total Waste Manage    	On 25 Apr Bdc	</t>
  </si>
  <si>
    <t xml:space="preserve">V Dirorimwe           	Registration Bgc	</t>
  </si>
  <si>
    <t xml:space="preserve">V Lahodynska          	Nd57 Oee Bgc	</t>
  </si>
  <si>
    <t xml:space="preserve">Vere Jarvis           	Cv59Bfj Bgc	</t>
  </si>
  <si>
    <t xml:space="preserve">W Donnelly Bgc        	W Donnelly Bgc		</t>
  </si>
  <si>
    <t xml:space="preserve">Walker Mjh            	Registration Bgc	 KE14ESF</t>
  </si>
  <si>
    <t xml:space="preserve">Walker Mjh            	Registration Bgc	 KE14ESF4</t>
  </si>
  <si>
    <t xml:space="preserve">Wheeler V C           	Eo58Ycx Bgc	</t>
  </si>
  <si>
    <t xml:space="preserve">White L P             	Fv05 Ojp Ft	</t>
  </si>
  <si>
    <t xml:space="preserve">Whitfield K           	Ln11 Oxe Bgc	</t>
  </si>
  <si>
    <t xml:space="preserve">William Godley        	Ef13 Jkn Bgc	</t>
  </si>
  <si>
    <t xml:space="preserve">Williams C H &amp; S F    	Af58Ojn Bgc	</t>
  </si>
  <si>
    <t xml:space="preserve">Wisdom James          	Car Bgc	Cx62Ysh</t>
  </si>
  <si>
    <t xml:space="preserve">Wojciech Kuczynski    	Rk13Kwv Bgc	</t>
  </si>
  <si>
    <t xml:space="preserve">Woodhams D &amp; M        	Ford Van Kp57 Ncv Bgc</t>
  </si>
  <si>
    <t xml:space="preserve">Wsscu Ltd Capital     	Ln11 Oxe Bgc	</t>
  </si>
  <si>
    <t xml:space="preserve">Zachary Thomson       	Ford F Deposit Bgc	</t>
  </si>
  <si>
    <t xml:space="preserve">Zachary Thomson       	Red Ford Fiesta Bgc	</t>
  </si>
  <si>
    <t xml:space="preserve">Zeldah Fumunkento     	Rk57 Tom Bgc	</t>
  </si>
  <si>
    <t xml:space="preserve">586 Total</t>
  </si>
  <si>
    <t xml:space="preserve">Asamoah B             	Registration Bgc	</t>
  </si>
  <si>
    <t xml:space="preserve">Trade debtors on account</t>
  </si>
  <si>
    <t xml:space="preserve">Jayapalam A           	Registration Ft	</t>
  </si>
  <si>
    <t xml:space="preserve">M Stacey              	Cream Mini Deposit Bg</t>
  </si>
  <si>
    <t xml:space="preserve">586.1 Total</t>
  </si>
  <si>
    <t xml:space="preserve">Asif Naseer Ahmed     	Vwpolo Gl62 Gdy Bgc	</t>
  </si>
  <si>
    <t xml:space="preserve">Barrett Lauren        	Registration Bgc	</t>
  </si>
  <si>
    <t xml:space="preserve">Eden J                	Joanna Eden Bgc	</t>
  </si>
  <si>
    <t xml:space="preserve">Howard Me             	Sy06Umt Bgc	</t>
  </si>
  <si>
    <t xml:space="preserve">Jasper Ka             	Delivery Norfolk Bgc	</t>
  </si>
  <si>
    <t xml:space="preserve">Luca Arancio          	Yg06Dzs Bgc	</t>
  </si>
  <si>
    <t xml:space="preserve">M Walsh Bgc           	M Walsh Bgc		</t>
  </si>
  <si>
    <t xml:space="preserve">Markham A F Cd        	Ey64 Fmk Bgc	</t>
  </si>
  <si>
    <t xml:space="preserve">Patrick Barry         	Sa12 Hwb Bgc	</t>
  </si>
  <si>
    <t xml:space="preserve">R Evans               	Car Deposit Bgc	</t>
  </si>
  <si>
    <t xml:space="preserve">R Evans               	Car Final Payment Bgc</t>
  </si>
  <si>
    <t xml:space="preserve">Redcorn Ltd           	Lv05Ujp Bgc	</t>
  </si>
  <si>
    <t xml:space="preserve">Robert Munroe         	C30 Volvo Bgc	</t>
  </si>
  <si>
    <t xml:space="preserve">Robert Munroe         	Chase Bgc	</t>
  </si>
  <si>
    <t xml:space="preserve">668 Total</t>
  </si>
  <si>
    <t xml:space="preserve">203698 93272893       	Dl Ft	</t>
  </si>
  <si>
    <t xml:space="preserve">727 Total</t>
  </si>
  <si>
    <t xml:space="preserve">Hmrc Vat              	431891588 Bgc	</t>
  </si>
  <si>
    <t xml:space="preserve">735 Total</t>
  </si>
  <si>
    <t xml:space="preserve">Costco Wholesale #    	On 03 Jul Bdc	</t>
  </si>
  <si>
    <t xml:space="preserve">Contactless Card Refund</t>
  </si>
  <si>
    <t xml:space="preserve">Royce Power Transm    	On 05 Sep Clr	</t>
  </si>
  <si>
    <t xml:space="preserve">737 Total</t>
  </si>
  <si>
    <t xml:space="preserve">738 Total</t>
  </si>
  <si>
    <t xml:space="preserve">Grand 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</si>
</sst>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/mmm/yy;@"/>
    <numFmt numFmtId="166" formatCode="0"/>
    <numFmt numFmtId="167" formatCode="#,##0.00;\-#,##0.00"/>
    <numFmt numFmtId="168" formatCode="dd/mm/yyyy;@"/>
    <numFmt numFmtId="169" formatCode="_-* #,##0.00_-;\-* #,##0.00_-;_-* \-??_-;_-@_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B05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YE_7033_Forest%20Car%20Company%20Ltd_30.11.23%202_IRI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Notes"/>
      <sheetName val="Input Summary"/>
      <sheetName val="BRS Barclays Bank Ac -30470120"/>
      <sheetName val="Barclays Bank Ac -30470120"/>
      <sheetName val="Index"/>
      <sheetName val="Barclays Bank Ac -30470120 (C)"/>
      <sheetName val="Queries"/>
      <sheetName val="Reallocations"/>
      <sheetName val="Job plan"/>
      <sheetName val="Communication"/>
      <sheetName val="Opening Bal Adj"/>
      <sheetName val="Barclays Bank Ac 50237620"/>
      <sheetName val="BRS Barclays Bank Ac 50237620"/>
      <sheetName val="Barclays Bank Ac 50237620 (C)"/>
      <sheetName val="Journal"/>
      <sheetName val="TB"/>
      <sheetName val="Opening TB"/>
      <sheetName val="ETB"/>
      <sheetName val="Profit &amp; Loss"/>
      <sheetName val="Balance Sheet"/>
      <sheetName val="F - Fixed Assets"/>
      <sheetName val="F1 - Intangible FA"/>
      <sheetName val="F2 - Tangible FA"/>
      <sheetName val="F4 - FAR"/>
      <sheetName val="F5 - Investments"/>
      <sheetName val="C1 - Stock"/>
      <sheetName val="C2 - Debtors"/>
      <sheetName val="C2-1 - Trade debtors"/>
      <sheetName val="C2-2-1 - Other Debtors"/>
      <sheetName val="C2-3 - Prepayments"/>
      <sheetName val="C2-4 - Accrued Income"/>
      <sheetName val="C2-5 - Other debtors-Inter co."/>
      <sheetName val="C2-6 - CIS"/>
      <sheetName val="C2-7 - Other debtors (3)"/>
      <sheetName val="Sales"/>
      <sheetName val="C3 - Bank &amp; Cash"/>
      <sheetName val="C3-1 - Bank 1"/>
      <sheetName val="C3-1-R - BR -1"/>
      <sheetName val="C3-1-P - BP -1"/>
      <sheetName val="C3-4 - Bank-2"/>
      <sheetName val="C3-1-R - BR -2"/>
      <sheetName val="C3-1-P - BP -2"/>
      <sheetName val="C3-4 - Bank-3"/>
      <sheetName val="C3-4 - Bank-4"/>
      <sheetName val="C3-4 - Bank-5"/>
      <sheetName val="C3-4 - Bank-6"/>
      <sheetName val="C3-4-R - BR -6"/>
      <sheetName val="C3-4-P - BP -6"/>
      <sheetName val="C5 - Cash"/>
      <sheetName val="C5-R - CR"/>
      <sheetName val="C5-P - CP"/>
      <sheetName val="C4 - Creditors"/>
      <sheetName val="C4-1 - Trade creditors"/>
      <sheetName val="C2-2 - Other debtors"/>
      <sheetName val="PDB Purchase"/>
      <sheetName val="PDB Expense"/>
      <sheetName val="Reversal-Addition Expense "/>
      <sheetName val="Duplicate"/>
      <sheetName val="C4-2 - VAT"/>
      <sheetName val="VAT Rec"/>
      <sheetName val="C4-4 - PAYE-NI"/>
      <sheetName val="Payroll"/>
      <sheetName val="C4-10 - Net wages"/>
      <sheetName val="C4-5 - Other creditors"/>
      <sheetName val="C4-6 - Accruals"/>
      <sheetName val="C4-7 - DCA"/>
      <sheetName val="C4-8 - Loan &lt; 1"/>
      <sheetName val="C4-9 - HP &lt; 1"/>
      <sheetName val="C4-10 - Pension"/>
      <sheetName val="C4-11 - Other Creditors (3)"/>
      <sheetName val="C4-12 - Other Crediotrs (4)"/>
      <sheetName val="L - Long Term Loans"/>
      <sheetName val="L1 - Loan &gt; 1"/>
      <sheetName val="L2 - HP &gt; 1"/>
      <sheetName val="D - Deferred tax"/>
      <sheetName val="C4-3 - CT"/>
      <sheetName val="E - Share capital"/>
      <sheetName val="P - Reserves"/>
      <sheetName val="Sheet6 (6)"/>
      <sheetName val="Sheet6 (7)"/>
      <sheetName val="Sheet6 (8)"/>
      <sheetName val="Sheet6 (9)"/>
      <sheetName val="Sheet6 (10)"/>
      <sheetName val="Sheet6 (11)"/>
      <sheetName val="Sheet6 (12)"/>
      <sheetName val="Sheet6 (13)"/>
      <sheetName val="Sheet6 (14)"/>
      <sheetName val="Sheet6 (15)"/>
      <sheetName val="Sheet6 (16)"/>
      <sheetName val="Sheet6 (19)"/>
      <sheetName val="Sheet6 (20)"/>
      <sheetName val="Sheet6 (21)"/>
      <sheetName val="Sheet6 (22)"/>
      <sheetName val="Sheet6 (23)"/>
      <sheetName val="Sheet6 (24)"/>
      <sheetName val="Sheet6 (25)"/>
      <sheetName val="Sheet6 (26)"/>
      <sheetName val="Sheet6 (27)"/>
      <sheetName val="Sheet6 (28)"/>
      <sheetName val="Sheet6 (29)"/>
      <sheetName val="Sheet6 (30)"/>
      <sheetName val="Sheet6 (31)"/>
      <sheetName val="Sheet6 (32)"/>
      <sheetName val="Sheet6 (33)"/>
      <sheetName val="Sheet6 (3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6">
          <cell r="B66">
            <v>524</v>
          </cell>
          <cell r="C66" t="str">
            <v>Fixtures &amp; fittings</v>
          </cell>
        </row>
        <row r="67">
          <cell r="B67" t="str">
            <v>524/1</v>
          </cell>
          <cell r="C67" t="str">
            <v>Fixtures &amp; fittings Cost/valuation b/f</v>
          </cell>
        </row>
        <row r="68">
          <cell r="B68" t="str">
            <v>524/2</v>
          </cell>
          <cell r="C68" t="str">
            <v>Fixtures &amp; fittings - Additions</v>
          </cell>
        </row>
        <row r="69">
          <cell r="B69" t="str">
            <v>524/3</v>
          </cell>
          <cell r="C69" t="str">
            <v>Fixtures &amp; fittings - Disposals</v>
          </cell>
        </row>
        <row r="70">
          <cell r="B70" t="str">
            <v>524/21</v>
          </cell>
          <cell r="C70" t="str">
            <v>Fixtures &amp; fittings - Depreciation b/fwd</v>
          </cell>
        </row>
        <row r="71">
          <cell r="B71" t="str">
            <v>524/22</v>
          </cell>
          <cell r="C71" t="str">
            <v>Fixtures &amp; fittings - Charge for year</v>
          </cell>
        </row>
        <row r="72">
          <cell r="B72" t="str">
            <v>524/23</v>
          </cell>
          <cell r="C72" t="str">
            <v>Fixtures &amp; fittings - Eliminated on disposals</v>
          </cell>
        </row>
        <row r="73">
          <cell r="B73">
            <v>525</v>
          </cell>
          <cell r="C73" t="str">
            <v>Motor vehicles</v>
          </cell>
        </row>
        <row r="74">
          <cell r="B74" t="str">
            <v>525/1</v>
          </cell>
          <cell r="C74" t="str">
            <v>Motor vehicles Cost/valuation b/f</v>
          </cell>
        </row>
        <row r="75">
          <cell r="B75" t="str">
            <v>525/2</v>
          </cell>
          <cell r="C75" t="str">
            <v>Motor vehicles - Additions</v>
          </cell>
        </row>
        <row r="76">
          <cell r="B76" t="str">
            <v>525/3</v>
          </cell>
          <cell r="C76" t="str">
            <v>Motor vehicles - Disposals</v>
          </cell>
        </row>
        <row r="77">
          <cell r="B77" t="str">
            <v>525/21</v>
          </cell>
          <cell r="C77" t="str">
            <v>Motor vehicles - Depreciation b/fwd</v>
          </cell>
        </row>
        <row r="78">
          <cell r="B78" t="str">
            <v>525/22</v>
          </cell>
          <cell r="C78" t="str">
            <v>Motor vehicles - Charge for year</v>
          </cell>
        </row>
        <row r="79">
          <cell r="B79" t="str">
            <v>525/23</v>
          </cell>
          <cell r="C79" t="str">
            <v>Motor vehicles - Eliminated on disposals</v>
          </cell>
        </row>
        <row r="80">
          <cell r="B80">
            <v>526</v>
          </cell>
          <cell r="C80" t="str">
            <v>Computer equipment</v>
          </cell>
        </row>
        <row r="81">
          <cell r="B81" t="str">
            <v>526/1</v>
          </cell>
          <cell r="C81" t="str">
            <v>Computer equipment Cost/valuation b/f</v>
          </cell>
        </row>
        <row r="82">
          <cell r="B82" t="str">
            <v>526/2</v>
          </cell>
          <cell r="C82" t="str">
            <v>Computer equipment - Additions</v>
          </cell>
        </row>
        <row r="83">
          <cell r="B83" t="str">
            <v>526/3</v>
          </cell>
          <cell r="C83" t="str">
            <v>Computer equipment - Disposals</v>
          </cell>
        </row>
        <row r="84">
          <cell r="B84" t="str">
            <v>526/21</v>
          </cell>
          <cell r="C84" t="str">
            <v>Computer equipment - Depreciation b/fwd</v>
          </cell>
        </row>
        <row r="85">
          <cell r="B85" t="str">
            <v>526/22</v>
          </cell>
          <cell r="C85" t="str">
            <v>Computer equipment - Charge for year</v>
          </cell>
        </row>
        <row r="86">
          <cell r="B86" t="str">
            <v>526/23</v>
          </cell>
          <cell r="C86" t="str">
            <v>Computer equipment - Eliminated on disposals</v>
          </cell>
        </row>
        <row r="87">
          <cell r="B87">
            <v>542</v>
          </cell>
          <cell r="C87" t="str">
            <v>Share in grp undertaking</v>
          </cell>
        </row>
        <row r="88">
          <cell r="B88">
            <v>543</v>
          </cell>
          <cell r="C88" t="str">
            <v>Loan to grp undertaking</v>
          </cell>
        </row>
        <row r="89">
          <cell r="B89">
            <v>548</v>
          </cell>
          <cell r="C89" t="str">
            <v>Interest in associate</v>
          </cell>
        </row>
        <row r="90">
          <cell r="B90">
            <v>549</v>
          </cell>
          <cell r="C90" t="str">
            <v>Int in joint venture</v>
          </cell>
        </row>
        <row r="91">
          <cell r="B91">
            <v>550</v>
          </cell>
          <cell r="C91" t="str">
            <v>Int in other participting</v>
          </cell>
        </row>
        <row r="92">
          <cell r="B92">
            <v>551</v>
          </cell>
          <cell r="C92" t="str">
            <v>Loans to associates</v>
          </cell>
        </row>
        <row r="93">
          <cell r="B93">
            <v>552</v>
          </cell>
          <cell r="C93" t="str">
            <v>Loan to joint venture</v>
          </cell>
        </row>
        <row r="94">
          <cell r="B94">
            <v>553</v>
          </cell>
          <cell r="C94" t="str">
            <v>Loans to other part int</v>
          </cell>
        </row>
        <row r="95">
          <cell r="B95">
            <v>556</v>
          </cell>
          <cell r="C95" t="str">
            <v>Investments - listed</v>
          </cell>
        </row>
        <row r="96">
          <cell r="B96" t="str">
            <v>556/1</v>
          </cell>
          <cell r="C96" t="str">
            <v>Investments - listed b/fwd</v>
          </cell>
        </row>
        <row r="97">
          <cell r="B97" t="str">
            <v>556/2</v>
          </cell>
          <cell r="C97" t="str">
            <v>Investments - listed additions</v>
          </cell>
        </row>
        <row r="98">
          <cell r="B98" t="str">
            <v>556/3</v>
          </cell>
          <cell r="C98" t="str">
            <v>Investments - listed disposals</v>
          </cell>
        </row>
        <row r="99">
          <cell r="B99" t="str">
            <v>556/21</v>
          </cell>
          <cell r="C99" t="str">
            <v>Investments - listed provisions b/fwd</v>
          </cell>
        </row>
        <row r="100">
          <cell r="B100" t="str">
            <v>556/22</v>
          </cell>
          <cell r="C100" t="str">
            <v>Investments - listed provisions provided in period</v>
          </cell>
        </row>
        <row r="101">
          <cell r="B101" t="str">
            <v>556/23</v>
          </cell>
          <cell r="C101" t="str">
            <v>Investments - listed provisions disposals</v>
          </cell>
        </row>
        <row r="102">
          <cell r="B102">
            <v>557</v>
          </cell>
          <cell r="C102" t="str">
            <v>Investments - unlisted</v>
          </cell>
        </row>
        <row r="103">
          <cell r="B103" t="str">
            <v>557/1</v>
          </cell>
          <cell r="C103" t="str">
            <v>Investments - unlisted b/fwd</v>
          </cell>
        </row>
        <row r="104">
          <cell r="B104" t="str">
            <v>557/2</v>
          </cell>
          <cell r="C104" t="str">
            <v>Investments - unlisted additions</v>
          </cell>
        </row>
        <row r="105">
          <cell r="B105" t="str">
            <v>557/3</v>
          </cell>
          <cell r="C105" t="str">
            <v>Investments - unlisted disposals</v>
          </cell>
        </row>
        <row r="106">
          <cell r="B106" t="str">
            <v>557/21</v>
          </cell>
          <cell r="C106" t="str">
            <v>Investments - unlisted provisions b/fwd</v>
          </cell>
        </row>
        <row r="107">
          <cell r="B107" t="str">
            <v>557/22</v>
          </cell>
          <cell r="C107" t="str">
            <v>Investments - unlisted provisions provided in period</v>
          </cell>
        </row>
        <row r="108">
          <cell r="B108" t="str">
            <v>557/23</v>
          </cell>
          <cell r="C108" t="str">
            <v>Investments - unlisted provisions disposals</v>
          </cell>
        </row>
        <row r="109">
          <cell r="B109">
            <v>558</v>
          </cell>
          <cell r="C109" t="str">
            <v>Investments - other</v>
          </cell>
        </row>
        <row r="110">
          <cell r="B110" t="str">
            <v>558/1</v>
          </cell>
          <cell r="C110" t="str">
            <v>Investments - other b/fwd</v>
          </cell>
        </row>
        <row r="111">
          <cell r="B111" t="str">
            <v>558/2</v>
          </cell>
          <cell r="C111" t="str">
            <v>Investments - other additions</v>
          </cell>
        </row>
        <row r="112">
          <cell r="B112" t="str">
            <v>558/3</v>
          </cell>
          <cell r="C112" t="str">
            <v>Investments - other disposals</v>
          </cell>
        </row>
        <row r="113">
          <cell r="B113" t="str">
            <v>558/21</v>
          </cell>
          <cell r="C113" t="str">
            <v>Investments - other provisions b/fwd</v>
          </cell>
        </row>
        <row r="114">
          <cell r="B114" t="str">
            <v>558/22</v>
          </cell>
          <cell r="C114" t="str">
            <v>Investments - other provisions provided in period</v>
          </cell>
        </row>
        <row r="115">
          <cell r="B115" t="str">
            <v>558/23</v>
          </cell>
          <cell r="C115" t="str">
            <v>Investments - other provisions disposals</v>
          </cell>
        </row>
        <row r="116">
          <cell r="B116">
            <v>559</v>
          </cell>
          <cell r="C116" t="str">
            <v>Other loans</v>
          </cell>
        </row>
        <row r="117">
          <cell r="B117">
            <v>561</v>
          </cell>
          <cell r="C117" t="str">
            <v>Own shares</v>
          </cell>
        </row>
        <row r="118">
          <cell r="B118">
            <v>563</v>
          </cell>
          <cell r="C118" t="str">
            <v>Investment Property</v>
          </cell>
        </row>
        <row r="119">
          <cell r="B119">
            <v>568</v>
          </cell>
          <cell r="C119" t="str">
            <v>Valuation</v>
          </cell>
        </row>
        <row r="120">
          <cell r="B120">
            <v>569</v>
          </cell>
          <cell r="C120" t="str">
            <v>Stocks</v>
          </cell>
        </row>
        <row r="121">
          <cell r="B121">
            <v>570</v>
          </cell>
          <cell r="C121" t="str">
            <v>Stocks - Raw Materials</v>
          </cell>
        </row>
        <row r="122">
          <cell r="B122">
            <v>571</v>
          </cell>
          <cell r="C122" t="str">
            <v>No Descriptions</v>
          </cell>
        </row>
        <row r="123">
          <cell r="B123">
            <v>572</v>
          </cell>
          <cell r="C123" t="str">
            <v>Stocks - Work-in-progress</v>
          </cell>
        </row>
        <row r="124">
          <cell r="B124">
            <v>573</v>
          </cell>
          <cell r="C124" t="str">
            <v>No Descriptions</v>
          </cell>
        </row>
        <row r="125">
          <cell r="B125">
            <v>574</v>
          </cell>
          <cell r="C125" t="str">
            <v>Stocks - Finished goods</v>
          </cell>
        </row>
        <row r="126">
          <cell r="B126">
            <v>575</v>
          </cell>
          <cell r="C126" t="str">
            <v>No Descriptions</v>
          </cell>
        </row>
        <row r="127">
          <cell r="B127">
            <v>576</v>
          </cell>
          <cell r="C127" t="str">
            <v>Payments on account</v>
          </cell>
        </row>
        <row r="128">
          <cell r="B128">
            <v>577</v>
          </cell>
          <cell r="C128" t="str">
            <v>No Descriptions</v>
          </cell>
        </row>
        <row r="129">
          <cell r="B129">
            <v>580</v>
          </cell>
          <cell r="C129" t="str">
            <v>Net cost less foreseeable loss</v>
          </cell>
        </row>
        <row r="130">
          <cell r="B130">
            <v>581</v>
          </cell>
          <cell r="C130" t="str">
            <v>No Descriptions</v>
          </cell>
        </row>
        <row r="131">
          <cell r="B131">
            <v>582</v>
          </cell>
          <cell r="C131" t="str">
            <v>Excess payments on account</v>
          </cell>
        </row>
        <row r="132">
          <cell r="B132">
            <v>583</v>
          </cell>
          <cell r="C132" t="str">
            <v>No Descriptions</v>
          </cell>
        </row>
        <row r="133">
          <cell r="B133">
            <v>586</v>
          </cell>
          <cell r="C133" t="str">
            <v>Trade debtors</v>
          </cell>
        </row>
        <row r="134">
          <cell r="B134">
            <v>587</v>
          </cell>
          <cell r="C134" t="str">
            <v>No Descriptions</v>
          </cell>
        </row>
        <row r="135">
          <cell r="B135">
            <v>588</v>
          </cell>
          <cell r="C135" t="str">
            <v>No Descriptions</v>
          </cell>
        </row>
        <row r="136">
          <cell r="B136">
            <v>589</v>
          </cell>
          <cell r="C136" t="str">
            <v>No Descriptions</v>
          </cell>
        </row>
        <row r="137">
          <cell r="B137">
            <v>591</v>
          </cell>
          <cell r="C137" t="str">
            <v>Amounts recoverable on contracts</v>
          </cell>
        </row>
        <row r="138">
          <cell r="B138">
            <v>592</v>
          </cell>
          <cell r="C138" t="str">
            <v>Amounts recv re fin leases</v>
          </cell>
        </row>
        <row r="139">
          <cell r="B139">
            <v>593</v>
          </cell>
          <cell r="C139" t="str">
            <v>Amounts recv re HP Contracts</v>
          </cell>
        </row>
        <row r="140">
          <cell r="B140">
            <v>594</v>
          </cell>
          <cell r="C140" t="str">
            <v>Other debtors</v>
          </cell>
        </row>
        <row r="141">
          <cell r="B141">
            <v>595</v>
          </cell>
          <cell r="C141" t="str">
            <v>No Descriptions</v>
          </cell>
        </row>
        <row r="142">
          <cell r="B142">
            <v>596</v>
          </cell>
          <cell r="C142" t="str">
            <v>No Descriptions</v>
          </cell>
        </row>
        <row r="143">
          <cell r="B143">
            <v>597</v>
          </cell>
          <cell r="C143" t="str">
            <v>No Descriptions</v>
          </cell>
        </row>
        <row r="144">
          <cell r="B144">
            <v>607</v>
          </cell>
          <cell r="C144" t="str">
            <v>Tax</v>
          </cell>
        </row>
        <row r="145">
          <cell r="B145">
            <v>608</v>
          </cell>
          <cell r="C145" t="str">
            <v>No Descriptions</v>
          </cell>
        </row>
        <row r="146">
          <cell r="B146">
            <v>609</v>
          </cell>
          <cell r="C146" t="str">
            <v>No Descriptions</v>
          </cell>
        </row>
        <row r="147">
          <cell r="B147">
            <v>610</v>
          </cell>
          <cell r="C147" t="str">
            <v>Called up share capital not paid</v>
          </cell>
        </row>
        <row r="148">
          <cell r="B148">
            <v>612</v>
          </cell>
          <cell r="C148" t="str">
            <v>Prepayments and accrued income</v>
          </cell>
        </row>
        <row r="149">
          <cell r="B149">
            <v>613</v>
          </cell>
          <cell r="C149" t="str">
            <v>Accruals</v>
          </cell>
        </row>
        <row r="150">
          <cell r="B150">
            <v>614</v>
          </cell>
          <cell r="C150" t="str">
            <v>Prepayments</v>
          </cell>
        </row>
        <row r="151">
          <cell r="B151">
            <v>615</v>
          </cell>
          <cell r="C151" t="str">
            <v>No Descriptions</v>
          </cell>
        </row>
        <row r="152">
          <cell r="B152">
            <v>616</v>
          </cell>
          <cell r="C152" t="str">
            <v>No Descriptions</v>
          </cell>
        </row>
        <row r="153">
          <cell r="B153">
            <v>620</v>
          </cell>
          <cell r="C153" t="str">
            <v>Contract assets</v>
          </cell>
        </row>
        <row r="154">
          <cell r="B154">
            <v>625</v>
          </cell>
          <cell r="C154" t="str">
            <v>Trade Debtors</v>
          </cell>
        </row>
        <row r="155">
          <cell r="B155">
            <v>626</v>
          </cell>
          <cell r="C155" t="str">
            <v>No Descriptions</v>
          </cell>
        </row>
        <row r="156">
          <cell r="B156">
            <v>627</v>
          </cell>
          <cell r="C156" t="str">
            <v>No Descriptions</v>
          </cell>
        </row>
        <row r="157">
          <cell r="B157">
            <v>628</v>
          </cell>
          <cell r="C157" t="str">
            <v>Amounts recoverable on contracts</v>
          </cell>
        </row>
        <row r="158">
          <cell r="B158">
            <v>629</v>
          </cell>
          <cell r="C158" t="str">
            <v>Amounts recv re fin leases</v>
          </cell>
        </row>
        <row r="159">
          <cell r="B159">
            <v>630</v>
          </cell>
          <cell r="C159" t="str">
            <v>Amounts recv re HP Contracts</v>
          </cell>
        </row>
        <row r="160">
          <cell r="B160">
            <v>631</v>
          </cell>
          <cell r="C160" t="str">
            <v>Other Debtors</v>
          </cell>
        </row>
        <row r="161">
          <cell r="B161">
            <v>632</v>
          </cell>
          <cell r="C161" t="str">
            <v>No Descriptions</v>
          </cell>
        </row>
        <row r="162">
          <cell r="B162">
            <v>633</v>
          </cell>
          <cell r="C162" t="str">
            <v>No Descriptions</v>
          </cell>
        </row>
        <row r="163">
          <cell r="B163">
            <v>634</v>
          </cell>
          <cell r="C163" t="str">
            <v>No Descriptions</v>
          </cell>
        </row>
        <row r="164">
          <cell r="B164">
            <v>639</v>
          </cell>
          <cell r="C164" t="str">
            <v>Tax</v>
          </cell>
        </row>
        <row r="165">
          <cell r="B165">
            <v>640</v>
          </cell>
          <cell r="C165" t="str">
            <v>No Descriptions</v>
          </cell>
        </row>
        <row r="166">
          <cell r="B166">
            <v>641</v>
          </cell>
          <cell r="C166" t="str">
            <v>No Descriptions</v>
          </cell>
        </row>
        <row r="167">
          <cell r="B167">
            <v>645</v>
          </cell>
          <cell r="C167" t="str">
            <v>Called up share capital not paid</v>
          </cell>
        </row>
        <row r="168">
          <cell r="B168">
            <v>647</v>
          </cell>
          <cell r="C168" t="str">
            <v>Prepayments and accrued income</v>
          </cell>
        </row>
        <row r="169">
          <cell r="B169">
            <v>648</v>
          </cell>
          <cell r="C169" t="str">
            <v>No Descriptions</v>
          </cell>
        </row>
        <row r="170">
          <cell r="B170">
            <v>649</v>
          </cell>
          <cell r="C170" t="str">
            <v>No Descriptions</v>
          </cell>
        </row>
        <row r="171">
          <cell r="B171">
            <v>655</v>
          </cell>
          <cell r="C171" t="str">
            <v>Debts Factored without recours</v>
          </cell>
        </row>
        <row r="172">
          <cell r="B172">
            <v>656</v>
          </cell>
          <cell r="C172" t="str">
            <v>Non-returnable deposits</v>
          </cell>
        </row>
        <row r="173">
          <cell r="B173">
            <v>657</v>
          </cell>
          <cell r="C173" t="str">
            <v>Contract assets</v>
          </cell>
        </row>
        <row r="174">
          <cell r="B174">
            <v>659</v>
          </cell>
          <cell r="C174" t="str">
            <v>Shares in group undertakings</v>
          </cell>
        </row>
        <row r="175">
          <cell r="B175">
            <v>660</v>
          </cell>
          <cell r="C175" t="str">
            <v>Own shares</v>
          </cell>
        </row>
        <row r="176">
          <cell r="B176">
            <v>661</v>
          </cell>
          <cell r="C176" t="str">
            <v>Listed investments</v>
          </cell>
        </row>
        <row r="177">
          <cell r="B177">
            <v>662</v>
          </cell>
          <cell r="C177" t="str">
            <v>Unlisted investments</v>
          </cell>
        </row>
        <row r="178">
          <cell r="B178">
            <v>663</v>
          </cell>
          <cell r="C178" t="str">
            <v>Other</v>
          </cell>
        </row>
        <row r="179">
          <cell r="B179">
            <v>668</v>
          </cell>
          <cell r="C179" t="str">
            <v>Cash in hand</v>
          </cell>
        </row>
        <row r="180">
          <cell r="B180">
            <v>669</v>
          </cell>
          <cell r="C180" t="str">
            <v>No Descriptions</v>
          </cell>
        </row>
        <row r="181">
          <cell r="B181">
            <v>670</v>
          </cell>
          <cell r="C181" t="str">
            <v>No Descriptions</v>
          </cell>
        </row>
        <row r="182">
          <cell r="B182">
            <v>671</v>
          </cell>
          <cell r="C182" t="str">
            <v>No Descriptions</v>
          </cell>
        </row>
        <row r="183">
          <cell r="B183">
            <v>673</v>
          </cell>
          <cell r="C183" t="str">
            <v>Bank deposit account</v>
          </cell>
        </row>
        <row r="184">
          <cell r="B184">
            <v>674</v>
          </cell>
          <cell r="C184" t="str">
            <v>No Descriptions</v>
          </cell>
        </row>
        <row r="185">
          <cell r="B185">
            <v>675</v>
          </cell>
          <cell r="C185" t="str">
            <v>No Descriptions</v>
          </cell>
        </row>
        <row r="186">
          <cell r="B186">
            <v>676</v>
          </cell>
          <cell r="C186" t="str">
            <v>No Descriptions</v>
          </cell>
        </row>
        <row r="187">
          <cell r="B187">
            <v>687</v>
          </cell>
          <cell r="C187" t="str">
            <v>Prepayments and accrued income</v>
          </cell>
        </row>
        <row r="188">
          <cell r="B188">
            <v>692</v>
          </cell>
          <cell r="C188" t="str">
            <v>Barclays BankA/c. No.: 30470120</v>
          </cell>
        </row>
        <row r="189">
          <cell r="B189">
            <v>693</v>
          </cell>
          <cell r="C189" t="str">
            <v>Barclays BankA/c. No.: 50237620</v>
          </cell>
        </row>
        <row r="190">
          <cell r="B190">
            <v>694</v>
          </cell>
          <cell r="C190" t="str">
            <v>Bank Account No.3</v>
          </cell>
        </row>
        <row r="191">
          <cell r="B191">
            <v>695</v>
          </cell>
          <cell r="C191" t="str">
            <v>Bank Account No.4</v>
          </cell>
        </row>
        <row r="192">
          <cell r="B192">
            <v>696</v>
          </cell>
          <cell r="C192" t="str">
            <v>Bank Account No.5</v>
          </cell>
        </row>
        <row r="193">
          <cell r="B193">
            <v>700</v>
          </cell>
          <cell r="C193" t="str">
            <v>Bank Account No.6</v>
          </cell>
        </row>
        <row r="194">
          <cell r="B194">
            <v>701</v>
          </cell>
          <cell r="C194" t="str">
            <v>No Descriptions</v>
          </cell>
        </row>
        <row r="195">
          <cell r="B195">
            <v>702</v>
          </cell>
          <cell r="C195" t="str">
            <v>No Descriptions</v>
          </cell>
        </row>
        <row r="196">
          <cell r="B196">
            <v>715</v>
          </cell>
          <cell r="C196" t="str">
            <v>Amounts owed by group undertakings</v>
          </cell>
        </row>
        <row r="197">
          <cell r="B197">
            <v>716</v>
          </cell>
          <cell r="C197" t="str">
            <v>Amounts owed by other participating interests</v>
          </cell>
        </row>
        <row r="198">
          <cell r="B198">
            <v>717</v>
          </cell>
          <cell r="C198" t="str">
            <v>Amounts owed by joint-ventures</v>
          </cell>
        </row>
        <row r="199">
          <cell r="B199">
            <v>718</v>
          </cell>
          <cell r="C199" t="str">
            <v>Amounts owed by associates</v>
          </cell>
        </row>
        <row r="200">
          <cell r="B200">
            <v>719</v>
          </cell>
          <cell r="C200" t="str">
            <v>Amounts owed by group undertakings</v>
          </cell>
        </row>
        <row r="201">
          <cell r="B201">
            <v>720</v>
          </cell>
          <cell r="C201" t="str">
            <v>Amounts owed by other participating interests</v>
          </cell>
        </row>
        <row r="202">
          <cell r="B202">
            <v>721</v>
          </cell>
          <cell r="C202" t="str">
            <v>Amounts owed by joint-ventures</v>
          </cell>
        </row>
        <row r="203">
          <cell r="B203">
            <v>722</v>
          </cell>
          <cell r="C203" t="str">
            <v>Amounts owed by associates</v>
          </cell>
        </row>
        <row r="204">
          <cell r="B204">
            <v>723</v>
          </cell>
          <cell r="C204" t="str">
            <v>Amounts owed to group undertakings</v>
          </cell>
        </row>
        <row r="205">
          <cell r="B205">
            <v>724</v>
          </cell>
          <cell r="C205" t="str">
            <v>Amounts owed to other participating interests</v>
          </cell>
        </row>
        <row r="206">
          <cell r="B206">
            <v>725</v>
          </cell>
          <cell r="C206" t="str">
            <v>Amounts owed to joint ventures</v>
          </cell>
        </row>
        <row r="207">
          <cell r="B207">
            <v>726</v>
          </cell>
          <cell r="C207" t="str">
            <v>Amounts owed to associates</v>
          </cell>
        </row>
        <row r="208">
          <cell r="B208">
            <v>727</v>
          </cell>
          <cell r="C208" t="str">
            <v>Director's current account</v>
          </cell>
        </row>
        <row r="209">
          <cell r="B209">
            <v>728</v>
          </cell>
          <cell r="C209" t="str">
            <v>Director's loan accs less 1 year</v>
          </cell>
        </row>
        <row r="210">
          <cell r="B210">
            <v>730</v>
          </cell>
          <cell r="C210" t="str">
            <v>Director's loan accs more 1 year</v>
          </cell>
        </row>
        <row r="211">
          <cell r="B211">
            <v>735</v>
          </cell>
          <cell r="C211" t="str">
            <v>VAT</v>
          </cell>
        </row>
        <row r="212">
          <cell r="B212">
            <v>736</v>
          </cell>
          <cell r="C212" t="str">
            <v>Payments on account</v>
          </cell>
        </row>
        <row r="213">
          <cell r="B213">
            <v>737</v>
          </cell>
          <cell r="C213" t="str">
            <v>Trade creditors</v>
          </cell>
        </row>
        <row r="214">
          <cell r="B214">
            <v>738</v>
          </cell>
          <cell r="C214" t="str">
            <v>Net Wages</v>
          </cell>
        </row>
        <row r="215">
          <cell r="B215">
            <v>739</v>
          </cell>
          <cell r="C215" t="str">
            <v>No Descriptions</v>
          </cell>
        </row>
        <row r="216">
          <cell r="B216">
            <v>740</v>
          </cell>
          <cell r="C216" t="str">
            <v>No Descriptions</v>
          </cell>
        </row>
        <row r="217">
          <cell r="B217">
            <v>744</v>
          </cell>
          <cell r="C217" t="str">
            <v>Bills of exchange payable</v>
          </cell>
        </row>
        <row r="218">
          <cell r="B218">
            <v>747</v>
          </cell>
          <cell r="C218" t="str">
            <v>Corporation Tax</v>
          </cell>
        </row>
        <row r="219">
          <cell r="B219">
            <v>748</v>
          </cell>
          <cell r="C219" t="str">
            <v>No Descriptions</v>
          </cell>
        </row>
        <row r="220">
          <cell r="B220">
            <v>749</v>
          </cell>
          <cell r="C220" t="str">
            <v>No Descriptions</v>
          </cell>
        </row>
        <row r="221">
          <cell r="B221">
            <v>755</v>
          </cell>
          <cell r="C221" t="str">
            <v>Social Security and other tax</v>
          </cell>
        </row>
        <row r="222">
          <cell r="B222">
            <v>756</v>
          </cell>
          <cell r="C222" t="str">
            <v>Pension</v>
          </cell>
        </row>
        <row r="223">
          <cell r="B223">
            <v>757</v>
          </cell>
          <cell r="C223" t="str">
            <v>No Descriptions</v>
          </cell>
        </row>
        <row r="224">
          <cell r="B224">
            <v>764</v>
          </cell>
          <cell r="C224" t="str">
            <v>Proposed dividends</v>
          </cell>
        </row>
        <row r="225">
          <cell r="B225">
            <v>767</v>
          </cell>
          <cell r="C225" t="str">
            <v>Other creditors</v>
          </cell>
        </row>
        <row r="226">
          <cell r="B226">
            <v>768</v>
          </cell>
          <cell r="C226" t="str">
            <v>No Descriptions</v>
          </cell>
        </row>
        <row r="227">
          <cell r="B227">
            <v>769</v>
          </cell>
          <cell r="C227" t="str">
            <v>No Descriptions</v>
          </cell>
        </row>
        <row r="228">
          <cell r="B228">
            <v>770</v>
          </cell>
          <cell r="C228" t="str">
            <v>No Descriptions</v>
          </cell>
        </row>
        <row r="229">
          <cell r="B229">
            <v>785</v>
          </cell>
          <cell r="C229" t="str">
            <v>Accruals and deferred income</v>
          </cell>
        </row>
        <row r="230">
          <cell r="B230">
            <v>786</v>
          </cell>
          <cell r="C230" t="str">
            <v>Accrued Expenses</v>
          </cell>
        </row>
        <row r="231">
          <cell r="B231">
            <v>787</v>
          </cell>
          <cell r="C231" t="str">
            <v>Deferred Government grants</v>
          </cell>
        </row>
        <row r="232">
          <cell r="B232">
            <v>788</v>
          </cell>
          <cell r="C232" t="str">
            <v>No Descriptions</v>
          </cell>
        </row>
        <row r="233">
          <cell r="B233">
            <v>789</v>
          </cell>
          <cell r="C233" t="str">
            <v>No Descriptions</v>
          </cell>
        </row>
        <row r="234">
          <cell r="B234">
            <v>791</v>
          </cell>
          <cell r="C234" t="str">
            <v>Contract Liabilities</v>
          </cell>
        </row>
        <row r="235">
          <cell r="B235">
            <v>792</v>
          </cell>
          <cell r="C235" t="str">
            <v>Payments on account</v>
          </cell>
        </row>
        <row r="236">
          <cell r="B236">
            <v>793</v>
          </cell>
          <cell r="C236" t="str">
            <v>Trade creditors</v>
          </cell>
        </row>
        <row r="237">
          <cell r="B237">
            <v>794</v>
          </cell>
          <cell r="C237" t="str">
            <v>No Descriptions</v>
          </cell>
        </row>
        <row r="238">
          <cell r="B238">
            <v>795</v>
          </cell>
          <cell r="C238" t="str">
            <v>No Descriptions</v>
          </cell>
        </row>
        <row r="239">
          <cell r="B239">
            <v>799</v>
          </cell>
          <cell r="C239" t="str">
            <v>Bills of exchange payable</v>
          </cell>
        </row>
        <row r="240">
          <cell r="B240">
            <v>802</v>
          </cell>
          <cell r="C240" t="str">
            <v>Tax</v>
          </cell>
        </row>
        <row r="241">
          <cell r="B241">
            <v>803</v>
          </cell>
          <cell r="C241" t="str">
            <v>No Descriptions</v>
          </cell>
        </row>
        <row r="242">
          <cell r="B242">
            <v>804</v>
          </cell>
          <cell r="C242" t="str">
            <v>No Descriptions</v>
          </cell>
        </row>
        <row r="243">
          <cell r="B243">
            <v>808</v>
          </cell>
          <cell r="C243" t="str">
            <v>Social Security and other tax</v>
          </cell>
        </row>
        <row r="244">
          <cell r="B244">
            <v>814</v>
          </cell>
          <cell r="C244" t="str">
            <v>Other Creditors</v>
          </cell>
        </row>
        <row r="245">
          <cell r="B245">
            <v>815</v>
          </cell>
          <cell r="C245" t="str">
            <v>No Descriptions</v>
          </cell>
        </row>
        <row r="246">
          <cell r="B246">
            <v>816</v>
          </cell>
          <cell r="C246" t="str">
            <v>No Descriptions</v>
          </cell>
        </row>
        <row r="247">
          <cell r="B247">
            <v>817</v>
          </cell>
          <cell r="C247" t="str">
            <v>No Descriptions</v>
          </cell>
        </row>
        <row r="248">
          <cell r="B248">
            <v>827</v>
          </cell>
          <cell r="C248" t="str">
            <v>Accruals and deferred income</v>
          </cell>
        </row>
        <row r="249">
          <cell r="B249">
            <v>828</v>
          </cell>
          <cell r="C249" t="str">
            <v>Deferred Government grants</v>
          </cell>
        </row>
        <row r="250">
          <cell r="B250">
            <v>829</v>
          </cell>
          <cell r="C250" t="str">
            <v>No Descriptions</v>
          </cell>
        </row>
        <row r="251">
          <cell r="B251">
            <v>832</v>
          </cell>
          <cell r="C251" t="str">
            <v>Other creditors</v>
          </cell>
        </row>
        <row r="252">
          <cell r="B252">
            <v>833</v>
          </cell>
          <cell r="C252" t="str">
            <v>No Descriptions</v>
          </cell>
        </row>
        <row r="253">
          <cell r="B253">
            <v>834</v>
          </cell>
          <cell r="C253" t="str">
            <v>No Descriptions</v>
          </cell>
        </row>
        <row r="254">
          <cell r="B254">
            <v>838</v>
          </cell>
          <cell r="C254" t="str">
            <v>Contract Liabilities</v>
          </cell>
        </row>
        <row r="255">
          <cell r="B255">
            <v>839</v>
          </cell>
          <cell r="C255" t="str">
            <v>Debentures</v>
          </cell>
        </row>
        <row r="256">
          <cell r="B256">
            <v>840</v>
          </cell>
          <cell r="C256" t="str">
            <v>No Descriptions</v>
          </cell>
        </row>
        <row r="257">
          <cell r="B257">
            <v>841</v>
          </cell>
          <cell r="C257" t="str">
            <v>Debentures - 1-2 years</v>
          </cell>
        </row>
        <row r="258">
          <cell r="B258">
            <v>842</v>
          </cell>
          <cell r="C258" t="str">
            <v>No Descriptions</v>
          </cell>
        </row>
        <row r="259">
          <cell r="B259">
            <v>843</v>
          </cell>
          <cell r="C259" t="str">
            <v>Debentures - 2-5 years</v>
          </cell>
        </row>
        <row r="260">
          <cell r="B260">
            <v>844</v>
          </cell>
          <cell r="C260" t="str">
            <v>No Descriptions</v>
          </cell>
        </row>
        <row r="261">
          <cell r="B261">
            <v>845</v>
          </cell>
          <cell r="C261" t="str">
            <v>Debentures more 5 years- instalm</v>
          </cell>
        </row>
        <row r="262">
          <cell r="B262">
            <v>846</v>
          </cell>
          <cell r="C262" t="str">
            <v>No Descriptions</v>
          </cell>
        </row>
        <row r="263">
          <cell r="B263">
            <v>847</v>
          </cell>
          <cell r="C263" t="str">
            <v>Debentures more 5 years non-instal</v>
          </cell>
        </row>
        <row r="264">
          <cell r="B264">
            <v>848</v>
          </cell>
          <cell r="C264" t="str">
            <v>No Descriptions</v>
          </cell>
        </row>
        <row r="265">
          <cell r="B265">
            <v>849</v>
          </cell>
          <cell r="C265" t="str">
            <v>Bank loans</v>
          </cell>
        </row>
        <row r="266">
          <cell r="B266">
            <v>850</v>
          </cell>
          <cell r="C266" t="str">
            <v>No Descriptions</v>
          </cell>
        </row>
        <row r="267">
          <cell r="B267">
            <v>853</v>
          </cell>
          <cell r="C267" t="str">
            <v>Bank Loans - 1-2 years</v>
          </cell>
        </row>
        <row r="268">
          <cell r="B268">
            <v>854</v>
          </cell>
          <cell r="C268" t="str">
            <v>No Descriptions</v>
          </cell>
        </row>
        <row r="269">
          <cell r="B269">
            <v>857</v>
          </cell>
          <cell r="C269" t="str">
            <v>Bank Loans - 2-5 years</v>
          </cell>
        </row>
        <row r="270">
          <cell r="B270">
            <v>858</v>
          </cell>
          <cell r="C270" t="str">
            <v>No Descriptions</v>
          </cell>
        </row>
        <row r="271">
          <cell r="B271">
            <v>861</v>
          </cell>
          <cell r="C271" t="str">
            <v>Bank Loans more 5 year by instal</v>
          </cell>
        </row>
        <row r="272">
          <cell r="B272">
            <v>862</v>
          </cell>
          <cell r="C272" t="str">
            <v>No Descriptions</v>
          </cell>
        </row>
        <row r="273">
          <cell r="B273">
            <v>865</v>
          </cell>
          <cell r="C273" t="str">
            <v>Bank Loans more 5 year non-inst</v>
          </cell>
        </row>
        <row r="274">
          <cell r="B274">
            <v>866</v>
          </cell>
          <cell r="C274" t="str">
            <v>No Descriptions</v>
          </cell>
        </row>
        <row r="275">
          <cell r="B275">
            <v>869</v>
          </cell>
          <cell r="C275" t="str">
            <v>Other Loans</v>
          </cell>
        </row>
        <row r="276">
          <cell r="B276">
            <v>868</v>
          </cell>
          <cell r="C276" t="str">
            <v>No Descriptions</v>
          </cell>
        </row>
        <row r="277">
          <cell r="B277">
            <v>874</v>
          </cell>
          <cell r="C277" t="str">
            <v>Preference shares - less 1 year</v>
          </cell>
        </row>
        <row r="278">
          <cell r="B278">
            <v>875</v>
          </cell>
          <cell r="C278" t="str">
            <v>Other Loans - between 1 and 2 years</v>
          </cell>
        </row>
        <row r="279">
          <cell r="B279">
            <v>876</v>
          </cell>
          <cell r="C279" t="str">
            <v>No Descriptions</v>
          </cell>
        </row>
        <row r="280">
          <cell r="B280">
            <v>877</v>
          </cell>
          <cell r="C280" t="str">
            <v>No Descriptions</v>
          </cell>
        </row>
        <row r="281">
          <cell r="B281">
            <v>878</v>
          </cell>
          <cell r="C281" t="str">
            <v>No Descriptions</v>
          </cell>
        </row>
        <row r="282">
          <cell r="B282">
            <v>880</v>
          </cell>
          <cell r="C282" t="str">
            <v>Preference shares - 1-2 years</v>
          </cell>
        </row>
        <row r="283">
          <cell r="B283">
            <v>881</v>
          </cell>
          <cell r="C283" t="str">
            <v>Other Loans - between 2 and 5 years</v>
          </cell>
        </row>
        <row r="284">
          <cell r="B284">
            <v>882</v>
          </cell>
          <cell r="C284" t="str">
            <v>No Descriptions</v>
          </cell>
        </row>
        <row r="285">
          <cell r="B285">
            <v>883</v>
          </cell>
          <cell r="C285" t="str">
            <v>No Descriptions</v>
          </cell>
        </row>
        <row r="286">
          <cell r="B286">
            <v>884</v>
          </cell>
          <cell r="C286" t="str">
            <v>No Descriptions</v>
          </cell>
        </row>
        <row r="287">
          <cell r="B287">
            <v>886</v>
          </cell>
          <cell r="C287" t="str">
            <v>Preference shares - 2-5 years</v>
          </cell>
        </row>
        <row r="288">
          <cell r="B288">
            <v>887</v>
          </cell>
          <cell r="C288" t="str">
            <v>Other Loans more 5 years inst</v>
          </cell>
        </row>
        <row r="289">
          <cell r="B289">
            <v>888</v>
          </cell>
          <cell r="C289" t="str">
            <v>No Descriptions</v>
          </cell>
        </row>
        <row r="290">
          <cell r="B290">
            <v>889</v>
          </cell>
          <cell r="C290" t="str">
            <v>No Descriptions</v>
          </cell>
        </row>
        <row r="291">
          <cell r="B291">
            <v>890</v>
          </cell>
          <cell r="C291" t="str">
            <v>No Descriptions</v>
          </cell>
        </row>
        <row r="292">
          <cell r="B292">
            <v>892</v>
          </cell>
          <cell r="C292" t="str">
            <v>Preference share more 5 years instal</v>
          </cell>
        </row>
        <row r="293">
          <cell r="B293">
            <v>893</v>
          </cell>
          <cell r="C293" t="str">
            <v>Other Loans more 5 years non-inst</v>
          </cell>
        </row>
        <row r="294">
          <cell r="B294">
            <v>894</v>
          </cell>
          <cell r="C294" t="str">
            <v>No Descriptions</v>
          </cell>
        </row>
        <row r="295">
          <cell r="B295">
            <v>895</v>
          </cell>
          <cell r="C295" t="str">
            <v>No Descriptions</v>
          </cell>
        </row>
        <row r="296">
          <cell r="B296">
            <v>896</v>
          </cell>
          <cell r="C296" t="str">
            <v>No Descriptions</v>
          </cell>
        </row>
        <row r="297">
          <cell r="B297">
            <v>898</v>
          </cell>
          <cell r="C297" t="str">
            <v>Preference shares more 5 years non-inst</v>
          </cell>
        </row>
        <row r="298">
          <cell r="B298">
            <v>909</v>
          </cell>
          <cell r="C298" t="str">
            <v>Hire purchase - gross- less than 1 year</v>
          </cell>
        </row>
        <row r="299">
          <cell r="B299">
            <v>910</v>
          </cell>
          <cell r="C299" t="str">
            <v>Hire purchase - gross - between 1 and 5 years</v>
          </cell>
        </row>
        <row r="300">
          <cell r="B300">
            <v>911</v>
          </cell>
          <cell r="C300" t="str">
            <v>Hire purchase after 5 years</v>
          </cell>
        </row>
        <row r="301">
          <cell r="B301">
            <v>912</v>
          </cell>
          <cell r="C301" t="str">
            <v>Hire purchase interest - less than 1 year</v>
          </cell>
        </row>
        <row r="302">
          <cell r="B302">
            <v>913</v>
          </cell>
          <cell r="C302" t="str">
            <v>Hire purchase interest -  between 1 and 5 years</v>
          </cell>
        </row>
        <row r="303">
          <cell r="B303">
            <v>914</v>
          </cell>
          <cell r="C303" t="str">
            <v>Hire purchase interest after 5 years</v>
          </cell>
        </row>
        <row r="304">
          <cell r="B304">
            <v>915</v>
          </cell>
          <cell r="C304" t="str">
            <v>Finance leases less than 1 year</v>
          </cell>
        </row>
        <row r="305">
          <cell r="B305">
            <v>916</v>
          </cell>
          <cell r="C305" t="str">
            <v>Finance leases between 1 and 5 years</v>
          </cell>
        </row>
        <row r="306">
          <cell r="B306">
            <v>917</v>
          </cell>
          <cell r="C306" t="str">
            <v>Finance leases after 5 years</v>
          </cell>
        </row>
        <row r="307">
          <cell r="B307">
            <v>918</v>
          </cell>
          <cell r="C307" t="str">
            <v>Finance leases interest</v>
          </cell>
        </row>
        <row r="308">
          <cell r="B308">
            <v>919</v>
          </cell>
          <cell r="C308" t="str">
            <v>Finance leases interest between 1 and 5 years</v>
          </cell>
        </row>
        <row r="309">
          <cell r="B309">
            <v>920</v>
          </cell>
          <cell r="C309" t="str">
            <v>Finance leases interest after 5 years</v>
          </cell>
        </row>
        <row r="310">
          <cell r="B310">
            <v>921</v>
          </cell>
          <cell r="C310" t="str">
            <v>Other leases gross less than 1 year</v>
          </cell>
        </row>
        <row r="311">
          <cell r="B311">
            <v>922</v>
          </cell>
          <cell r="C311" t="str">
            <v>Other leases between 1 and 5 years</v>
          </cell>
        </row>
        <row r="312">
          <cell r="B312">
            <v>923</v>
          </cell>
          <cell r="C312" t="str">
            <v>Other leases after 5 years</v>
          </cell>
        </row>
        <row r="313">
          <cell r="B313">
            <v>924</v>
          </cell>
          <cell r="C313" t="str">
            <v>Other leases interest</v>
          </cell>
        </row>
        <row r="314">
          <cell r="B314">
            <v>925</v>
          </cell>
          <cell r="C314" t="str">
            <v>Other leases interest between 1 and 5 years</v>
          </cell>
        </row>
        <row r="315">
          <cell r="B315">
            <v>926</v>
          </cell>
          <cell r="C315" t="str">
            <v>Other leases interest after 5 years</v>
          </cell>
        </row>
        <row r="316">
          <cell r="B316">
            <v>931</v>
          </cell>
          <cell r="C316" t="str">
            <v>Deferred Tax timing difference</v>
          </cell>
        </row>
        <row r="317">
          <cell r="B317">
            <v>932</v>
          </cell>
          <cell r="C317" t="str">
            <v>Deferred tax</v>
          </cell>
        </row>
        <row r="318">
          <cell r="B318">
            <v>933</v>
          </cell>
          <cell r="C318" t="str">
            <v>No Descriptions</v>
          </cell>
        </row>
        <row r="319">
          <cell r="B319">
            <v>934</v>
          </cell>
          <cell r="C319" t="str">
            <v>No Descriptions</v>
          </cell>
        </row>
        <row r="320">
          <cell r="B320">
            <v>935</v>
          </cell>
          <cell r="C320" t="str">
            <v>No Descriptions</v>
          </cell>
        </row>
        <row r="321">
          <cell r="B321">
            <v>942</v>
          </cell>
          <cell r="C321" t="str">
            <v>Other Provisions</v>
          </cell>
        </row>
        <row r="322">
          <cell r="B322">
            <v>943</v>
          </cell>
          <cell r="C322" t="str">
            <v>No Descriptions</v>
          </cell>
        </row>
        <row r="323">
          <cell r="B323">
            <v>944</v>
          </cell>
          <cell r="C323" t="str">
            <v>No Descriptions</v>
          </cell>
        </row>
        <row r="324">
          <cell r="B324">
            <v>945</v>
          </cell>
          <cell r="C324" t="str">
            <v>No Descriptions</v>
          </cell>
        </row>
        <row r="325">
          <cell r="B325">
            <v>951</v>
          </cell>
          <cell r="C325" t="str">
            <v>Accruals and deferred income</v>
          </cell>
        </row>
        <row r="326">
          <cell r="B326">
            <v>952</v>
          </cell>
          <cell r="C326" t="str">
            <v>Deferred Government grants</v>
          </cell>
        </row>
        <row r="327">
          <cell r="B327">
            <v>957</v>
          </cell>
          <cell r="C327" t="str">
            <v>Pensions - non-FRSSE</v>
          </cell>
        </row>
        <row r="328">
          <cell r="B328">
            <v>958</v>
          </cell>
          <cell r="C328" t="str">
            <v>Pensions - FRSSE</v>
          </cell>
        </row>
        <row r="329">
          <cell r="B329">
            <v>959</v>
          </cell>
          <cell r="C329" t="str">
            <v>Pensions - Deferred tax</v>
          </cell>
        </row>
        <row r="330">
          <cell r="B330">
            <v>960</v>
          </cell>
          <cell r="C330" t="str">
            <v>Health bens</v>
          </cell>
        </row>
        <row r="331">
          <cell r="B331">
            <v>961</v>
          </cell>
          <cell r="C331" t="str">
            <v>Health bens - Deferred tax</v>
          </cell>
        </row>
        <row r="332">
          <cell r="B332">
            <v>966</v>
          </cell>
          <cell r="C332" t="str">
            <v>Called up share capital</v>
          </cell>
        </row>
        <row r="333">
          <cell r="B333">
            <v>967</v>
          </cell>
          <cell r="C333" t="str">
            <v>Movement in share cap- NON TB</v>
          </cell>
        </row>
        <row r="334">
          <cell r="B334">
            <v>968</v>
          </cell>
          <cell r="C334" t="str">
            <v>Profit and loss account</v>
          </cell>
        </row>
        <row r="335">
          <cell r="B335">
            <v>969</v>
          </cell>
          <cell r="C335" t="str">
            <v>Share premium</v>
          </cell>
        </row>
        <row r="336">
          <cell r="B336">
            <v>970</v>
          </cell>
          <cell r="C336" t="str">
            <v>Revaluation reserve</v>
          </cell>
        </row>
        <row r="337">
          <cell r="B337">
            <v>971</v>
          </cell>
          <cell r="C337" t="str">
            <v>Capital redemption reserve</v>
          </cell>
        </row>
        <row r="338">
          <cell r="B338">
            <v>972</v>
          </cell>
          <cell r="C338" t="str">
            <v>Other Reserves</v>
          </cell>
        </row>
        <row r="339">
          <cell r="B339">
            <v>973</v>
          </cell>
          <cell r="C339" t="str">
            <v>Other Reserves</v>
          </cell>
        </row>
        <row r="340">
          <cell r="B340">
            <v>974</v>
          </cell>
          <cell r="C340" t="str">
            <v>Fair value reserve</v>
          </cell>
        </row>
        <row r="341">
          <cell r="B341">
            <v>983</v>
          </cell>
          <cell r="C341" t="str">
            <v>Minority interest</v>
          </cell>
        </row>
        <row r="342">
          <cell r="B342">
            <v>984</v>
          </cell>
          <cell r="C342" t="str">
            <v>No Descriptions</v>
          </cell>
        </row>
        <row r="343">
          <cell r="B343">
            <v>0</v>
          </cell>
          <cell r="C343" t="str">
            <v>Suspense account</v>
          </cell>
        </row>
        <row r="346">
          <cell r="B346">
            <v>1</v>
          </cell>
          <cell r="C346" t="str">
            <v>Sales </v>
          </cell>
        </row>
        <row r="347">
          <cell r="B347">
            <v>3</v>
          </cell>
          <cell r="C347" t="str">
            <v>Other Income</v>
          </cell>
        </row>
        <row r="348">
          <cell r="B348">
            <v>4</v>
          </cell>
          <cell r="C348" t="str">
            <v>Sales type B</v>
          </cell>
        </row>
        <row r="349">
          <cell r="B349">
            <v>5</v>
          </cell>
          <cell r="C349" t="str">
            <v>Sales type C</v>
          </cell>
        </row>
        <row r="350">
          <cell r="B350">
            <v>2</v>
          </cell>
          <cell r="C350" t="str">
            <v>Contracts</v>
          </cell>
        </row>
        <row r="351">
          <cell r="B351">
            <v>11</v>
          </cell>
          <cell r="C351" t="str">
            <v>Contracts with customers</v>
          </cell>
        </row>
        <row r="352">
          <cell r="B352">
            <v>12</v>
          </cell>
          <cell r="C352" t="str">
            <v>Rental income</v>
          </cell>
        </row>
        <row r="353">
          <cell r="B353">
            <v>13</v>
          </cell>
          <cell r="C353" t="str">
            <v>Commission</v>
          </cell>
        </row>
        <row r="354">
          <cell r="B354">
            <v>14</v>
          </cell>
          <cell r="C354" t="str">
            <v>Grants and subsidies received (Sales)</v>
          </cell>
        </row>
        <row r="355">
          <cell r="B355">
            <v>15</v>
          </cell>
          <cell r="C355" t="str">
            <v>Other trading income</v>
          </cell>
        </row>
        <row r="356">
          <cell r="B356">
            <v>17</v>
          </cell>
          <cell r="C356" t="str">
            <v>Opening Valuation</v>
          </cell>
        </row>
        <row r="357">
          <cell r="B357">
            <v>18</v>
          </cell>
          <cell r="C357" t="str">
            <v>Opening stock</v>
          </cell>
        </row>
        <row r="358">
          <cell r="B358">
            <v>19</v>
          </cell>
          <cell r="C358" t="str">
            <v>Opening raw materials</v>
          </cell>
        </row>
        <row r="359">
          <cell r="B359">
            <v>23</v>
          </cell>
          <cell r="C359" t="str">
            <v>Opening work in progress</v>
          </cell>
        </row>
        <row r="360">
          <cell r="B360">
            <v>25</v>
          </cell>
          <cell r="C360" t="str">
            <v>Opening Finished goods</v>
          </cell>
        </row>
        <row r="361">
          <cell r="B361">
            <v>27</v>
          </cell>
          <cell r="C361" t="str">
            <v>Purchases</v>
          </cell>
        </row>
        <row r="362">
          <cell r="B362">
            <v>28</v>
          </cell>
          <cell r="C362" t="str">
            <v>Purchases Type A (Cost of sales)</v>
          </cell>
        </row>
        <row r="363">
          <cell r="B363">
            <v>29</v>
          </cell>
          <cell r="C363" t="str">
            <v>Purchases Type B (Cost of sales)</v>
          </cell>
        </row>
        <row r="364">
          <cell r="B364">
            <v>30</v>
          </cell>
          <cell r="C364" t="str">
            <v>Purchases Type C (Cost of sales)</v>
          </cell>
        </row>
        <row r="365">
          <cell r="B365">
            <v>37</v>
          </cell>
          <cell r="C365" t="str">
            <v>Own work capitalised</v>
          </cell>
        </row>
        <row r="366">
          <cell r="B366">
            <v>43</v>
          </cell>
          <cell r="C366" t="str">
            <v>Director's remuneration etc</v>
          </cell>
        </row>
        <row r="367">
          <cell r="B367">
            <v>44</v>
          </cell>
          <cell r="C367" t="str">
            <v>Wages</v>
          </cell>
        </row>
        <row r="368">
          <cell r="B368">
            <v>45</v>
          </cell>
          <cell r="C368" t="str">
            <v>Social Security</v>
          </cell>
        </row>
        <row r="369">
          <cell r="B369">
            <v>46</v>
          </cell>
          <cell r="C369" t="str">
            <v>Pensions</v>
          </cell>
        </row>
        <row r="370">
          <cell r="B370">
            <v>49</v>
          </cell>
          <cell r="C370" t="str">
            <v>IFRS 16 Leases</v>
          </cell>
        </row>
        <row r="371">
          <cell r="B371">
            <v>50</v>
          </cell>
          <cell r="C371" t="str">
            <v>Hire of plant and machinery</v>
          </cell>
        </row>
        <row r="372">
          <cell r="B372">
            <v>51</v>
          </cell>
          <cell r="C372" t="str">
            <v>Other Operating leases</v>
          </cell>
        </row>
        <row r="373">
          <cell r="B373">
            <v>52</v>
          </cell>
          <cell r="C373" t="str">
            <v>Other direct costs</v>
          </cell>
        </row>
        <row r="374">
          <cell r="B374">
            <v>53</v>
          </cell>
          <cell r="C374" t="str">
            <v>Subcontractors</v>
          </cell>
        </row>
        <row r="375">
          <cell r="B375">
            <v>54</v>
          </cell>
          <cell r="C375" t="str">
            <v>Direct cost</v>
          </cell>
        </row>
        <row r="376">
          <cell r="B376">
            <v>55</v>
          </cell>
          <cell r="C376" t="str">
            <v>No Descriptions</v>
          </cell>
        </row>
        <row r="377">
          <cell r="B377">
            <v>56</v>
          </cell>
          <cell r="C377" t="str">
            <v>No Descriptions</v>
          </cell>
        </row>
        <row r="378">
          <cell r="B378">
            <v>65</v>
          </cell>
          <cell r="C378" t="str">
            <v>Amortisation - intang f a</v>
          </cell>
        </row>
        <row r="379">
          <cell r="B379">
            <v>66</v>
          </cell>
          <cell r="C379" t="str">
            <v>Depreciation - tang f a</v>
          </cell>
        </row>
        <row r="380">
          <cell r="B380">
            <v>67</v>
          </cell>
          <cell r="C380" t="str">
            <v>Profit/loss on sale intang f a</v>
          </cell>
        </row>
        <row r="381">
          <cell r="B381">
            <v>68</v>
          </cell>
          <cell r="C381" t="str">
            <v>Profit/loss on sale tang f a</v>
          </cell>
        </row>
        <row r="382">
          <cell r="B382">
            <v>69</v>
          </cell>
          <cell r="C382" t="str">
            <v>Profit/loss on sale f a invest</v>
          </cell>
        </row>
        <row r="383">
          <cell r="B383">
            <v>70</v>
          </cell>
          <cell r="C383" t="str">
            <v>Impairment loss intang f a</v>
          </cell>
        </row>
        <row r="384">
          <cell r="B384">
            <v>71</v>
          </cell>
          <cell r="C384" t="str">
            <v>Impairment loss tang f a</v>
          </cell>
        </row>
        <row r="385">
          <cell r="B385">
            <v>72</v>
          </cell>
          <cell r="C385" t="str">
            <v>Exceptional items</v>
          </cell>
        </row>
        <row r="386">
          <cell r="B386">
            <v>73</v>
          </cell>
          <cell r="C386" t="str">
            <v>Closing valuation</v>
          </cell>
        </row>
        <row r="387">
          <cell r="B387">
            <v>74</v>
          </cell>
          <cell r="C387" t="str">
            <v>Closing stock</v>
          </cell>
        </row>
        <row r="388">
          <cell r="B388">
            <v>75</v>
          </cell>
          <cell r="C388" t="str">
            <v>Closing raw materials</v>
          </cell>
        </row>
        <row r="389">
          <cell r="B389">
            <v>79</v>
          </cell>
          <cell r="C389" t="str">
            <v>Closing work in progress</v>
          </cell>
        </row>
        <row r="390">
          <cell r="B390">
            <v>81</v>
          </cell>
          <cell r="C390" t="str">
            <v>Closing stock - finished goods</v>
          </cell>
        </row>
        <row r="391">
          <cell r="B391">
            <v>83</v>
          </cell>
          <cell r="C391" t="str">
            <v>Gain/loss on revaln of assets</v>
          </cell>
        </row>
        <row r="392">
          <cell r="B392">
            <v>88</v>
          </cell>
          <cell r="C392" t="str">
            <v>Discounts received</v>
          </cell>
        </row>
        <row r="393">
          <cell r="B393">
            <v>89</v>
          </cell>
          <cell r="C393" t="str">
            <v>Rents received</v>
          </cell>
        </row>
        <row r="394">
          <cell r="B394">
            <v>90</v>
          </cell>
          <cell r="C394" t="str">
            <v>Sundry Receipts</v>
          </cell>
        </row>
        <row r="395">
          <cell r="B395">
            <v>91</v>
          </cell>
          <cell r="C395" t="str">
            <v>No Descriptions</v>
          </cell>
        </row>
        <row r="396">
          <cell r="B396">
            <v>92</v>
          </cell>
          <cell r="C396" t="str">
            <v>Other income</v>
          </cell>
        </row>
        <row r="397">
          <cell r="B397">
            <v>93</v>
          </cell>
          <cell r="C397" t="str">
            <v>No Descriptions</v>
          </cell>
        </row>
        <row r="398">
          <cell r="B398">
            <v>96</v>
          </cell>
          <cell r="C398" t="str">
            <v>Government Grants</v>
          </cell>
        </row>
        <row r="399">
          <cell r="B399">
            <v>97</v>
          </cell>
          <cell r="C399" t="str">
            <v>Exchange Gains</v>
          </cell>
        </row>
        <row r="400">
          <cell r="B400">
            <v>98</v>
          </cell>
          <cell r="C400" t="str">
            <v>Profit on sale of intang fa</v>
          </cell>
        </row>
        <row r="401">
          <cell r="B401">
            <v>99</v>
          </cell>
          <cell r="C401" t="str">
            <v>Profit on sale of tang fa</v>
          </cell>
        </row>
        <row r="402">
          <cell r="B402">
            <v>100</v>
          </cell>
          <cell r="C402" t="str">
            <v>Profit on sale f a investment</v>
          </cell>
        </row>
        <row r="403">
          <cell r="B403">
            <v>101</v>
          </cell>
          <cell r="C403" t="str">
            <v>Reversal impairment intang fa</v>
          </cell>
        </row>
        <row r="404">
          <cell r="B404">
            <v>102</v>
          </cell>
          <cell r="C404" t="str">
            <v>Reversal impairment tang fa</v>
          </cell>
        </row>
        <row r="405">
          <cell r="B405">
            <v>103</v>
          </cell>
          <cell r="C405" t="str">
            <v>Exceptional items</v>
          </cell>
        </row>
        <row r="406">
          <cell r="B406">
            <v>104</v>
          </cell>
          <cell r="C406" t="str">
            <v>Gain/loss on revaln of assets</v>
          </cell>
        </row>
        <row r="407">
          <cell r="B407">
            <v>107</v>
          </cell>
          <cell r="C407" t="str">
            <v>Gain/loss on revaln of assets</v>
          </cell>
        </row>
        <row r="408">
          <cell r="B408">
            <v>109</v>
          </cell>
          <cell r="C408" t="str">
            <v>Shares in group indertakings</v>
          </cell>
        </row>
        <row r="409">
          <cell r="B409">
            <v>110</v>
          </cell>
          <cell r="C409" t="str">
            <v>Interest in associate</v>
          </cell>
        </row>
        <row r="410">
          <cell r="B410">
            <v>111</v>
          </cell>
          <cell r="C410" t="str">
            <v>Interest in joint venture</v>
          </cell>
        </row>
        <row r="411">
          <cell r="B411">
            <v>112</v>
          </cell>
          <cell r="C411" t="str">
            <v>Other Participating interests</v>
          </cell>
        </row>
        <row r="412">
          <cell r="B412">
            <v>114</v>
          </cell>
          <cell r="C412" t="str">
            <v>Other fixed asset invert-FII</v>
          </cell>
        </row>
        <row r="413">
          <cell r="B413">
            <v>115</v>
          </cell>
          <cell r="C413" t="str">
            <v>No Descriptions</v>
          </cell>
        </row>
        <row r="414">
          <cell r="B414">
            <v>116</v>
          </cell>
          <cell r="C414" t="str">
            <v>No Descriptions</v>
          </cell>
        </row>
        <row r="415">
          <cell r="B415">
            <v>117</v>
          </cell>
          <cell r="C415" t="str">
            <v>No Descriptions</v>
          </cell>
        </row>
        <row r="416">
          <cell r="B416">
            <v>119</v>
          </cell>
          <cell r="C416" t="str">
            <v>Other fixed asset invert-UnFII</v>
          </cell>
        </row>
        <row r="417">
          <cell r="B417">
            <v>120</v>
          </cell>
          <cell r="C417" t="str">
            <v>No Descriptions</v>
          </cell>
        </row>
        <row r="418">
          <cell r="B418">
            <v>121</v>
          </cell>
          <cell r="C418" t="str">
            <v>No Descriptions</v>
          </cell>
        </row>
        <row r="419">
          <cell r="B419">
            <v>122</v>
          </cell>
          <cell r="C419" t="str">
            <v>No Descriptions</v>
          </cell>
        </row>
        <row r="420">
          <cell r="B420">
            <v>127</v>
          </cell>
          <cell r="C420" t="str">
            <v>Exceptional items</v>
          </cell>
        </row>
        <row r="421">
          <cell r="B421">
            <v>130</v>
          </cell>
          <cell r="C421" t="str">
            <v>Deposit account interest</v>
          </cell>
        </row>
        <row r="422">
          <cell r="B422">
            <v>131</v>
          </cell>
          <cell r="C422" t="str">
            <v>No Descriptions</v>
          </cell>
        </row>
        <row r="423">
          <cell r="B423">
            <v>132</v>
          </cell>
          <cell r="C423" t="str">
            <v>No Descriptions</v>
          </cell>
        </row>
        <row r="424">
          <cell r="B424">
            <v>133</v>
          </cell>
          <cell r="C424" t="str">
            <v>No Descriptions</v>
          </cell>
        </row>
        <row r="425">
          <cell r="B425">
            <v>140</v>
          </cell>
          <cell r="C425" t="str">
            <v>Curr asset inv income</v>
          </cell>
        </row>
        <row r="426">
          <cell r="B426">
            <v>141</v>
          </cell>
          <cell r="C426" t="str">
            <v>No Descriptions</v>
          </cell>
        </row>
        <row r="427">
          <cell r="B427">
            <v>141</v>
          </cell>
          <cell r="C427" t="str">
            <v>No Descriptions</v>
          </cell>
        </row>
        <row r="428">
          <cell r="B428">
            <v>143</v>
          </cell>
          <cell r="C428" t="str">
            <v>No Descriptions</v>
          </cell>
        </row>
        <row r="429">
          <cell r="B429">
            <v>145</v>
          </cell>
          <cell r="C429" t="str">
            <v>Exceptional items</v>
          </cell>
        </row>
        <row r="430">
          <cell r="B430">
            <v>146</v>
          </cell>
          <cell r="C430" t="str">
            <v>JVs/assocs interest receivable</v>
          </cell>
        </row>
        <row r="431">
          <cell r="B431">
            <v>151</v>
          </cell>
          <cell r="C431" t="str">
            <v>Director's remuneration</v>
          </cell>
        </row>
        <row r="432">
          <cell r="B432">
            <v>152</v>
          </cell>
          <cell r="C432" t="str">
            <v>Wages</v>
          </cell>
        </row>
        <row r="433">
          <cell r="B433">
            <v>153</v>
          </cell>
          <cell r="C433" t="str">
            <v>Social Security</v>
          </cell>
        </row>
        <row r="434">
          <cell r="B434">
            <v>154</v>
          </cell>
          <cell r="C434" t="str">
            <v>Pensions</v>
          </cell>
        </row>
        <row r="435">
          <cell r="B435">
            <v>156</v>
          </cell>
          <cell r="C435" t="str">
            <v>IFRS 16 Leases</v>
          </cell>
        </row>
        <row r="436">
          <cell r="B436">
            <v>157</v>
          </cell>
          <cell r="C436" t="str">
            <v>Hire of plant and machinery</v>
          </cell>
        </row>
        <row r="437">
          <cell r="B437">
            <v>158</v>
          </cell>
          <cell r="C437" t="str">
            <v>Other Operating leases</v>
          </cell>
        </row>
        <row r="438">
          <cell r="B438">
            <v>159</v>
          </cell>
          <cell r="C438" t="str">
            <v>Haulage</v>
          </cell>
        </row>
        <row r="439">
          <cell r="B439">
            <v>160</v>
          </cell>
          <cell r="C439" t="str">
            <v>Packaging</v>
          </cell>
        </row>
        <row r="440">
          <cell r="B440">
            <v>161</v>
          </cell>
          <cell r="C440" t="str">
            <v>Carriage</v>
          </cell>
        </row>
        <row r="441">
          <cell r="B441">
            <v>162</v>
          </cell>
          <cell r="C441" t="str">
            <v>Storage</v>
          </cell>
        </row>
        <row r="442">
          <cell r="B442">
            <v>163</v>
          </cell>
          <cell r="C442" t="str">
            <v>No Descriptions</v>
          </cell>
        </row>
        <row r="443">
          <cell r="B443">
            <v>164</v>
          </cell>
          <cell r="C443" t="str">
            <v>No Descriptions</v>
          </cell>
        </row>
        <row r="444">
          <cell r="B444">
            <v>165</v>
          </cell>
          <cell r="C444" t="str">
            <v>No Descriptions</v>
          </cell>
        </row>
        <row r="445">
          <cell r="B445">
            <v>172</v>
          </cell>
          <cell r="C445" t="str">
            <v>Amortisation - intang f a</v>
          </cell>
        </row>
        <row r="446">
          <cell r="B446">
            <v>173</v>
          </cell>
          <cell r="C446" t="str">
            <v>Depreciation - tang f a</v>
          </cell>
        </row>
        <row r="447">
          <cell r="B447">
            <v>174</v>
          </cell>
          <cell r="C447" t="str">
            <v>Profit/loss on sale intang f a</v>
          </cell>
        </row>
        <row r="448">
          <cell r="B448">
            <v>175</v>
          </cell>
          <cell r="C448" t="str">
            <v>Profit/loss on sale tang f a</v>
          </cell>
        </row>
        <row r="449">
          <cell r="B449">
            <v>176</v>
          </cell>
          <cell r="C449" t="str">
            <v>Profit/loss on sale f a invest</v>
          </cell>
        </row>
        <row r="450">
          <cell r="B450">
            <v>177</v>
          </cell>
          <cell r="C450" t="str">
            <v>Impairment losses - intang f a</v>
          </cell>
        </row>
        <row r="451">
          <cell r="B451">
            <v>178</v>
          </cell>
          <cell r="C451" t="str">
            <v>Impairment losses - tang f a</v>
          </cell>
        </row>
        <row r="452">
          <cell r="B452">
            <v>179</v>
          </cell>
          <cell r="C452" t="str">
            <v>Exceptional items</v>
          </cell>
        </row>
        <row r="453">
          <cell r="B453">
            <v>180</v>
          </cell>
          <cell r="C453" t="str">
            <v>Gain/loss on revaln of assets</v>
          </cell>
        </row>
        <row r="454">
          <cell r="B454">
            <v>185</v>
          </cell>
          <cell r="C454" t="str">
            <v>Director's remuneration</v>
          </cell>
        </row>
        <row r="455">
          <cell r="B455">
            <v>186</v>
          </cell>
          <cell r="C455" t="str">
            <v>Wages</v>
          </cell>
        </row>
        <row r="456">
          <cell r="B456">
            <v>187</v>
          </cell>
          <cell r="C456" t="str">
            <v>Social Security</v>
          </cell>
        </row>
        <row r="457">
          <cell r="B457">
            <v>188</v>
          </cell>
          <cell r="C457" t="str">
            <v>Pensions</v>
          </cell>
        </row>
        <row r="458">
          <cell r="B458">
            <v>190</v>
          </cell>
          <cell r="C458" t="str">
            <v>IFRS 16 Leases</v>
          </cell>
        </row>
        <row r="459">
          <cell r="B459">
            <v>191</v>
          </cell>
          <cell r="C459" t="str">
            <v>Hire of plant and machinery</v>
          </cell>
        </row>
        <row r="460">
          <cell r="B460">
            <v>192</v>
          </cell>
          <cell r="C460" t="str">
            <v>Other Operating leases</v>
          </cell>
        </row>
        <row r="461">
          <cell r="B461">
            <v>193</v>
          </cell>
          <cell r="C461" t="str">
            <v>No Descriptions</v>
          </cell>
        </row>
        <row r="462">
          <cell r="B462">
            <v>194</v>
          </cell>
          <cell r="C462" t="str">
            <v>No Descriptions</v>
          </cell>
        </row>
        <row r="463">
          <cell r="B463">
            <v>195</v>
          </cell>
          <cell r="C463" t="str">
            <v>No Descriptions</v>
          </cell>
        </row>
        <row r="464">
          <cell r="B464">
            <v>206</v>
          </cell>
          <cell r="C464" t="str">
            <v>Donations</v>
          </cell>
        </row>
        <row r="465">
          <cell r="B465">
            <v>207</v>
          </cell>
          <cell r="C465" t="str">
            <v>Amortisation - intang f a</v>
          </cell>
        </row>
        <row r="466">
          <cell r="B466">
            <v>208</v>
          </cell>
          <cell r="C466" t="str">
            <v>Depreciation - tang f a</v>
          </cell>
        </row>
        <row r="467">
          <cell r="B467">
            <v>209</v>
          </cell>
          <cell r="C467" t="str">
            <v>Profit/loss on sale intang f a</v>
          </cell>
        </row>
        <row r="468">
          <cell r="B468">
            <v>210</v>
          </cell>
          <cell r="C468" t="str">
            <v>Profit/loss on sale tang f a</v>
          </cell>
        </row>
        <row r="469">
          <cell r="B469">
            <v>211</v>
          </cell>
          <cell r="C469" t="str">
            <v>Profit/loss on sale f a invest</v>
          </cell>
        </row>
        <row r="470">
          <cell r="B470">
            <v>212</v>
          </cell>
          <cell r="C470" t="str">
            <v>Impairment losses - intang f a</v>
          </cell>
        </row>
        <row r="471">
          <cell r="B471">
            <v>213</v>
          </cell>
          <cell r="C471" t="str">
            <v>Impairment losses - tang f a</v>
          </cell>
        </row>
        <row r="472">
          <cell r="B472">
            <v>214</v>
          </cell>
          <cell r="C472" t="str">
            <v>Exceptional items</v>
          </cell>
        </row>
        <row r="473">
          <cell r="B473">
            <v>215</v>
          </cell>
          <cell r="C473" t="str">
            <v>Gain/loss on revaln of assets</v>
          </cell>
        </row>
        <row r="474">
          <cell r="B474">
            <v>220</v>
          </cell>
          <cell r="C474" t="str">
            <v>Director's remuneration</v>
          </cell>
        </row>
        <row r="475">
          <cell r="B475">
            <v>221</v>
          </cell>
          <cell r="C475" t="str">
            <v>Wages</v>
          </cell>
        </row>
        <row r="476">
          <cell r="B476">
            <v>222</v>
          </cell>
          <cell r="C476" t="str">
            <v>Social Security</v>
          </cell>
        </row>
        <row r="477">
          <cell r="B477">
            <v>223</v>
          </cell>
          <cell r="C477" t="str">
            <v>Pensions</v>
          </cell>
        </row>
        <row r="478">
          <cell r="B478">
            <v>225</v>
          </cell>
          <cell r="C478" t="str">
            <v>IFRS 16 Leases</v>
          </cell>
        </row>
        <row r="479">
          <cell r="B479">
            <v>226</v>
          </cell>
          <cell r="C479" t="str">
            <v>Hire of plant and machinery</v>
          </cell>
        </row>
        <row r="480">
          <cell r="B480">
            <v>227</v>
          </cell>
          <cell r="C480" t="str">
            <v>Other Operating Leases - Rent</v>
          </cell>
        </row>
        <row r="481">
          <cell r="B481">
            <v>228</v>
          </cell>
          <cell r="C481" t="str">
            <v>Other Establishment Costs</v>
          </cell>
        </row>
        <row r="482">
          <cell r="B482">
            <v>229</v>
          </cell>
          <cell r="C482" t="str">
            <v>Rent</v>
          </cell>
        </row>
        <row r="483">
          <cell r="B483">
            <v>230</v>
          </cell>
          <cell r="C483" t="str">
            <v>Rates and water</v>
          </cell>
        </row>
        <row r="484">
          <cell r="B484">
            <v>231</v>
          </cell>
          <cell r="C484" t="str">
            <v>Use of home as office</v>
          </cell>
        </row>
        <row r="485">
          <cell r="B485">
            <v>232</v>
          </cell>
          <cell r="C485" t="str">
            <v>Insurance</v>
          </cell>
        </row>
        <row r="486">
          <cell r="B486">
            <v>233</v>
          </cell>
          <cell r="C486" t="str">
            <v>Light and heat</v>
          </cell>
        </row>
        <row r="487">
          <cell r="B487">
            <v>234</v>
          </cell>
          <cell r="C487" t="str">
            <v>Repairs to property</v>
          </cell>
        </row>
        <row r="488">
          <cell r="B488">
            <v>235</v>
          </cell>
          <cell r="C488" t="str">
            <v>Contra Entry</v>
          </cell>
        </row>
        <row r="489">
          <cell r="B489">
            <v>236</v>
          </cell>
          <cell r="C489" t="str">
            <v>No Descriptions</v>
          </cell>
        </row>
        <row r="490">
          <cell r="B490">
            <v>237</v>
          </cell>
          <cell r="C490" t="str">
            <v>No Descriptions</v>
          </cell>
        </row>
        <row r="491">
          <cell r="B491">
            <v>241</v>
          </cell>
          <cell r="C491" t="str">
            <v>Amortisation - intang f a</v>
          </cell>
        </row>
        <row r="492">
          <cell r="B492">
            <v>242</v>
          </cell>
          <cell r="C492" t="str">
            <v>Depreciation - tang f a</v>
          </cell>
        </row>
        <row r="493">
          <cell r="B493">
            <v>243</v>
          </cell>
          <cell r="C493" t="str">
            <v>Profit/loss on sale intang f a</v>
          </cell>
        </row>
        <row r="494">
          <cell r="B494">
            <v>244</v>
          </cell>
          <cell r="C494" t="str">
            <v>Profit/loss on sale tang f a</v>
          </cell>
        </row>
        <row r="495">
          <cell r="B495">
            <v>245</v>
          </cell>
          <cell r="C495" t="str">
            <v>Profit/loss on sale f a invest</v>
          </cell>
        </row>
        <row r="496">
          <cell r="B496">
            <v>246</v>
          </cell>
          <cell r="C496" t="str">
            <v>Impairment losses - intang f a</v>
          </cell>
        </row>
        <row r="497">
          <cell r="B497">
            <v>247</v>
          </cell>
          <cell r="C497" t="str">
            <v>Impairment losses - tang f a</v>
          </cell>
        </row>
        <row r="498">
          <cell r="B498">
            <v>248</v>
          </cell>
          <cell r="C498" t="str">
            <v>Exceptional items</v>
          </cell>
        </row>
        <row r="499">
          <cell r="B499">
            <v>249</v>
          </cell>
          <cell r="C499" t="str">
            <v>Gain/loss on revaln of assets</v>
          </cell>
        </row>
        <row r="500">
          <cell r="B500">
            <v>254</v>
          </cell>
          <cell r="C500" t="str">
            <v>Director's remuneration</v>
          </cell>
        </row>
        <row r="501">
          <cell r="B501" t="str">
            <v>254/1</v>
          </cell>
          <cell r="C501" t="str">
            <v>Director's Salaries</v>
          </cell>
        </row>
        <row r="502">
          <cell r="B502" t="str">
            <v>254/2</v>
          </cell>
          <cell r="C502" t="str">
            <v>Director's Social Security</v>
          </cell>
        </row>
        <row r="503">
          <cell r="B503">
            <v>255</v>
          </cell>
          <cell r="C503" t="str">
            <v>Wages</v>
          </cell>
        </row>
        <row r="504">
          <cell r="B504">
            <v>256</v>
          </cell>
          <cell r="C504" t="str">
            <v>Social Security</v>
          </cell>
        </row>
        <row r="505">
          <cell r="B505">
            <v>257</v>
          </cell>
          <cell r="C505" t="str">
            <v>Pensions</v>
          </cell>
        </row>
        <row r="506">
          <cell r="B506">
            <v>259</v>
          </cell>
          <cell r="C506" t="str">
            <v>IFRS 16 Leases</v>
          </cell>
        </row>
        <row r="507">
          <cell r="B507">
            <v>260</v>
          </cell>
          <cell r="C507" t="str">
            <v>Hire of Equipment</v>
          </cell>
        </row>
        <row r="508">
          <cell r="B508">
            <v>261</v>
          </cell>
          <cell r="C508" t="str">
            <v>Refreshments</v>
          </cell>
        </row>
        <row r="509">
          <cell r="B509">
            <v>262</v>
          </cell>
          <cell r="C509" t="str">
            <v>No Descriptions</v>
          </cell>
        </row>
        <row r="510">
          <cell r="B510">
            <v>263</v>
          </cell>
          <cell r="C510" t="str">
            <v>Telephone</v>
          </cell>
        </row>
        <row r="511">
          <cell r="B511">
            <v>264</v>
          </cell>
          <cell r="C511" t="str">
            <v>Printing, Post and Stationery</v>
          </cell>
        </row>
        <row r="512">
          <cell r="B512">
            <v>265</v>
          </cell>
          <cell r="C512" t="str">
            <v>Advertising</v>
          </cell>
        </row>
        <row r="513">
          <cell r="B513">
            <v>266</v>
          </cell>
          <cell r="C513" t="str">
            <v>Travelling</v>
          </cell>
        </row>
        <row r="514">
          <cell r="B514">
            <v>267</v>
          </cell>
          <cell r="C514" t="str">
            <v>Motor Expenses</v>
          </cell>
        </row>
        <row r="515">
          <cell r="B515">
            <v>268</v>
          </cell>
          <cell r="C515" t="str">
            <v>Implement repairs</v>
          </cell>
        </row>
        <row r="516">
          <cell r="B516">
            <v>269</v>
          </cell>
          <cell r="C516" t="str">
            <v>No Descriptions</v>
          </cell>
        </row>
        <row r="517">
          <cell r="B517">
            <v>270</v>
          </cell>
          <cell r="C517" t="str">
            <v>Licences and Subscription</v>
          </cell>
        </row>
        <row r="518">
          <cell r="B518">
            <v>271</v>
          </cell>
          <cell r="C518" t="str">
            <v>Clothing</v>
          </cell>
        </row>
        <row r="519">
          <cell r="B519">
            <v>272</v>
          </cell>
          <cell r="C519" t="str">
            <v>Repairs and Maintenance</v>
          </cell>
        </row>
        <row r="520">
          <cell r="B520">
            <v>273</v>
          </cell>
          <cell r="C520" t="str">
            <v>No Descriptions</v>
          </cell>
        </row>
        <row r="521">
          <cell r="B521">
            <v>274</v>
          </cell>
          <cell r="C521" t="str">
            <v>Household and cleaning</v>
          </cell>
        </row>
        <row r="522">
          <cell r="B522">
            <v>275</v>
          </cell>
          <cell r="C522" t="str">
            <v>No Descriptions</v>
          </cell>
        </row>
        <row r="523">
          <cell r="B523">
            <v>276</v>
          </cell>
          <cell r="C523" t="str">
            <v>No Descriptions</v>
          </cell>
        </row>
        <row r="524">
          <cell r="B524">
            <v>279</v>
          </cell>
          <cell r="C524" t="str">
            <v>Computer costs</v>
          </cell>
        </row>
        <row r="525">
          <cell r="B525">
            <v>280</v>
          </cell>
          <cell r="C525" t="str">
            <v>Sundry expenses</v>
          </cell>
        </row>
        <row r="526">
          <cell r="B526">
            <v>281</v>
          </cell>
          <cell r="C526" t="str">
            <v>No Descriptions</v>
          </cell>
        </row>
        <row r="527">
          <cell r="B527">
            <v>282</v>
          </cell>
          <cell r="C527" t="str">
            <v>No Descriptions</v>
          </cell>
        </row>
        <row r="528">
          <cell r="B528">
            <v>285</v>
          </cell>
          <cell r="C528" t="str">
            <v>Accountancy</v>
          </cell>
        </row>
        <row r="529">
          <cell r="B529">
            <v>287</v>
          </cell>
          <cell r="C529" t="str">
            <v>Subscriptions</v>
          </cell>
        </row>
        <row r="530">
          <cell r="B530">
            <v>288</v>
          </cell>
          <cell r="C530" t="str">
            <v>No Descriptions</v>
          </cell>
        </row>
        <row r="531">
          <cell r="B531">
            <v>290</v>
          </cell>
          <cell r="C531" t="str">
            <v>Legal &amp; Professional Fees</v>
          </cell>
        </row>
        <row r="532">
          <cell r="B532">
            <v>291</v>
          </cell>
          <cell r="C532" t="str">
            <v>No Descriptions</v>
          </cell>
        </row>
        <row r="533">
          <cell r="B533">
            <v>292</v>
          </cell>
          <cell r="C533" t="str">
            <v>Auditor's remuneration</v>
          </cell>
        </row>
        <row r="534">
          <cell r="B534">
            <v>293</v>
          </cell>
          <cell r="C534" t="str">
            <v>Auditor's remn-non-audit</v>
          </cell>
        </row>
        <row r="535">
          <cell r="B535">
            <v>294</v>
          </cell>
          <cell r="C535" t="str">
            <v>Donations</v>
          </cell>
        </row>
        <row r="536">
          <cell r="B536">
            <v>295</v>
          </cell>
          <cell r="C536" t="str">
            <v>Formation costs</v>
          </cell>
        </row>
        <row r="537">
          <cell r="B537">
            <v>296</v>
          </cell>
          <cell r="C537" t="str">
            <v>Foreign exchange losses</v>
          </cell>
        </row>
        <row r="538">
          <cell r="B538">
            <v>297</v>
          </cell>
          <cell r="C538" t="str">
            <v>Amortisation - intang f a</v>
          </cell>
        </row>
        <row r="539">
          <cell r="B539">
            <v>298</v>
          </cell>
          <cell r="C539" t="str">
            <v>Depreciation - tang f a</v>
          </cell>
        </row>
        <row r="540">
          <cell r="B540">
            <v>299</v>
          </cell>
          <cell r="C540" t="str">
            <v>Profit/loss on sale intang f a</v>
          </cell>
        </row>
        <row r="541">
          <cell r="B541">
            <v>300</v>
          </cell>
          <cell r="C541" t="str">
            <v>Profit/loss on sale intang f a</v>
          </cell>
        </row>
        <row r="542">
          <cell r="B542">
            <v>301</v>
          </cell>
          <cell r="C542" t="str">
            <v>Profit/loss on sale f a invest</v>
          </cell>
        </row>
        <row r="543">
          <cell r="B543">
            <v>302</v>
          </cell>
          <cell r="C543" t="str">
            <v>Impairment losses - intang f a</v>
          </cell>
        </row>
        <row r="544">
          <cell r="B544">
            <v>303</v>
          </cell>
          <cell r="C544" t="str">
            <v>Impairment losses - tang f a</v>
          </cell>
        </row>
        <row r="545">
          <cell r="B545">
            <v>304</v>
          </cell>
          <cell r="C545" t="str">
            <v>Exceptional items</v>
          </cell>
        </row>
        <row r="546">
          <cell r="B546">
            <v>305</v>
          </cell>
          <cell r="C546" t="str">
            <v>Gain/loss on revaln of assets</v>
          </cell>
        </row>
        <row r="547">
          <cell r="B547">
            <v>310</v>
          </cell>
          <cell r="C547" t="str">
            <v>Director's remuneration</v>
          </cell>
        </row>
        <row r="548">
          <cell r="B548">
            <v>311</v>
          </cell>
          <cell r="C548" t="str">
            <v>Wages</v>
          </cell>
        </row>
        <row r="549">
          <cell r="B549">
            <v>312</v>
          </cell>
          <cell r="C549" t="str">
            <v>Social Security</v>
          </cell>
        </row>
        <row r="550">
          <cell r="B550">
            <v>313</v>
          </cell>
          <cell r="C550" t="str">
            <v>Pensions</v>
          </cell>
        </row>
        <row r="551">
          <cell r="B551">
            <v>315</v>
          </cell>
          <cell r="C551" t="str">
            <v>IFRS 16 Leases</v>
          </cell>
        </row>
        <row r="552">
          <cell r="B552">
            <v>316</v>
          </cell>
          <cell r="C552" t="str">
            <v>Hire of plant and machinery</v>
          </cell>
        </row>
        <row r="553">
          <cell r="B553">
            <v>317</v>
          </cell>
          <cell r="C553" t="str">
            <v>Other Operating Leases</v>
          </cell>
        </row>
        <row r="554">
          <cell r="B554">
            <v>318</v>
          </cell>
          <cell r="C554" t="str">
            <v>Commission Paid</v>
          </cell>
        </row>
        <row r="555">
          <cell r="B555">
            <v>319</v>
          </cell>
          <cell r="C555" t="str">
            <v>Advertising</v>
          </cell>
        </row>
        <row r="556">
          <cell r="B556">
            <v>320</v>
          </cell>
          <cell r="C556" t="str">
            <v>Public relations</v>
          </cell>
        </row>
        <row r="557">
          <cell r="B557">
            <v>321</v>
          </cell>
          <cell r="C557" t="str">
            <v>Entertainment</v>
          </cell>
        </row>
        <row r="558">
          <cell r="B558">
            <v>322</v>
          </cell>
          <cell r="C558" t="str">
            <v>Bad debts</v>
          </cell>
        </row>
        <row r="559">
          <cell r="B559">
            <v>323</v>
          </cell>
          <cell r="C559" t="str">
            <v>Motor Expenses</v>
          </cell>
        </row>
        <row r="560">
          <cell r="B560">
            <v>324</v>
          </cell>
          <cell r="C560" t="str">
            <v>Promotions and exhibitions</v>
          </cell>
        </row>
        <row r="561">
          <cell r="B561">
            <v>325</v>
          </cell>
          <cell r="C561" t="str">
            <v>No Descriptions</v>
          </cell>
        </row>
        <row r="562">
          <cell r="B562">
            <v>326</v>
          </cell>
          <cell r="C562" t="str">
            <v>No Descriptions</v>
          </cell>
        </row>
        <row r="563">
          <cell r="B563">
            <v>330</v>
          </cell>
          <cell r="C563" t="str">
            <v>Donations</v>
          </cell>
        </row>
        <row r="564">
          <cell r="B564">
            <v>331</v>
          </cell>
          <cell r="C564" t="str">
            <v>Amortisation - intang f a</v>
          </cell>
        </row>
        <row r="565">
          <cell r="B565">
            <v>332</v>
          </cell>
          <cell r="C565" t="str">
            <v>Depreciation - tang f a</v>
          </cell>
        </row>
        <row r="566">
          <cell r="B566">
            <v>333</v>
          </cell>
          <cell r="C566" t="str">
            <v>Profit/loss on sale intang f a</v>
          </cell>
        </row>
        <row r="567">
          <cell r="B567">
            <v>334</v>
          </cell>
          <cell r="C567" t="str">
            <v>Profit/loss on sale tang f a</v>
          </cell>
        </row>
        <row r="568">
          <cell r="B568">
            <v>335</v>
          </cell>
          <cell r="C568" t="str">
            <v>Profit/loss on sale f a invest</v>
          </cell>
        </row>
        <row r="569">
          <cell r="B569">
            <v>336</v>
          </cell>
          <cell r="C569" t="str">
            <v>Impairment losses - intang f a</v>
          </cell>
        </row>
        <row r="570">
          <cell r="B570">
            <v>337</v>
          </cell>
          <cell r="C570" t="str">
            <v>Impairment losses - tang f a</v>
          </cell>
        </row>
        <row r="571">
          <cell r="B571">
            <v>338</v>
          </cell>
          <cell r="C571" t="str">
            <v>Exceptional items</v>
          </cell>
        </row>
        <row r="572">
          <cell r="B572">
            <v>339</v>
          </cell>
          <cell r="C572" t="str">
            <v>Gain/loss on revaln of assets</v>
          </cell>
        </row>
        <row r="573">
          <cell r="B573">
            <v>344</v>
          </cell>
          <cell r="C573" t="str">
            <v>Director's remuneration</v>
          </cell>
        </row>
        <row r="574">
          <cell r="B574">
            <v>345</v>
          </cell>
          <cell r="C574" t="str">
            <v>Wages</v>
          </cell>
        </row>
        <row r="575">
          <cell r="B575">
            <v>346</v>
          </cell>
          <cell r="C575" t="str">
            <v>Social Security</v>
          </cell>
        </row>
        <row r="576">
          <cell r="B576">
            <v>347</v>
          </cell>
          <cell r="C576" t="str">
            <v>Pensions</v>
          </cell>
        </row>
        <row r="577">
          <cell r="B577">
            <v>349</v>
          </cell>
          <cell r="C577" t="str">
            <v>IFRS 16 Leases</v>
          </cell>
        </row>
        <row r="578">
          <cell r="B578">
            <v>350</v>
          </cell>
          <cell r="C578" t="str">
            <v>Hire of plant and machinery</v>
          </cell>
        </row>
        <row r="579">
          <cell r="B579">
            <v>351</v>
          </cell>
          <cell r="C579" t="str">
            <v>Other Operating Leases</v>
          </cell>
        </row>
        <row r="580">
          <cell r="B580">
            <v>352</v>
          </cell>
          <cell r="C580" t="str">
            <v>No Descriptions</v>
          </cell>
        </row>
        <row r="581">
          <cell r="B581">
            <v>353</v>
          </cell>
          <cell r="C581" t="str">
            <v>No Descriptions</v>
          </cell>
        </row>
        <row r="582">
          <cell r="B582">
            <v>354</v>
          </cell>
          <cell r="C582" t="str">
            <v>No Descriptions</v>
          </cell>
        </row>
        <row r="583">
          <cell r="B583">
            <v>355</v>
          </cell>
          <cell r="C583" t="str">
            <v>No Descriptions</v>
          </cell>
        </row>
        <row r="584">
          <cell r="B584">
            <v>356</v>
          </cell>
          <cell r="C584" t="str">
            <v>No Descriptions</v>
          </cell>
        </row>
        <row r="585">
          <cell r="B585">
            <v>365</v>
          </cell>
          <cell r="C585" t="str">
            <v>Amortisation - intang f a</v>
          </cell>
        </row>
        <row r="586">
          <cell r="B586">
            <v>366</v>
          </cell>
          <cell r="C586" t="str">
            <v>Depreciation - tang f a</v>
          </cell>
        </row>
        <row r="587">
          <cell r="B587">
            <v>367</v>
          </cell>
          <cell r="C587" t="str">
            <v>Profit/loss on sale intang f a</v>
          </cell>
        </row>
        <row r="588">
          <cell r="B588">
            <v>368</v>
          </cell>
          <cell r="C588" t="str">
            <v>Profit/loss on sale tan f a</v>
          </cell>
        </row>
        <row r="589">
          <cell r="B589">
            <v>369</v>
          </cell>
          <cell r="C589" t="str">
            <v>Profit/loss on sale f a invest</v>
          </cell>
        </row>
        <row r="590">
          <cell r="B590">
            <v>370</v>
          </cell>
          <cell r="C590" t="str">
            <v>Impairment losses - intang f a</v>
          </cell>
        </row>
        <row r="591">
          <cell r="B591">
            <v>371</v>
          </cell>
          <cell r="C591" t="str">
            <v>Impairment losses - tang f a</v>
          </cell>
        </row>
        <row r="592">
          <cell r="B592">
            <v>372</v>
          </cell>
          <cell r="C592" t="str">
            <v>Exceptional items</v>
          </cell>
        </row>
        <row r="593">
          <cell r="B593">
            <v>373</v>
          </cell>
          <cell r="C593" t="str">
            <v>Gain/loss on revaln of assets</v>
          </cell>
        </row>
        <row r="594">
          <cell r="B594">
            <v>378</v>
          </cell>
          <cell r="C594" t="str">
            <v>Bank charges</v>
          </cell>
        </row>
        <row r="595">
          <cell r="B595">
            <v>379</v>
          </cell>
          <cell r="C595" t="str">
            <v>Credit card</v>
          </cell>
        </row>
        <row r="596">
          <cell r="B596">
            <v>380</v>
          </cell>
          <cell r="C596" t="str">
            <v>Discounts</v>
          </cell>
        </row>
        <row r="597">
          <cell r="B597">
            <v>381</v>
          </cell>
          <cell r="C597" t="str">
            <v>No Descriptions</v>
          </cell>
        </row>
        <row r="598">
          <cell r="B598">
            <v>382</v>
          </cell>
          <cell r="C598" t="str">
            <v>No Descriptions</v>
          </cell>
        </row>
        <row r="599">
          <cell r="B599">
            <v>383</v>
          </cell>
          <cell r="C599" t="str">
            <v>No Descriptions</v>
          </cell>
        </row>
        <row r="600">
          <cell r="B600">
            <v>388</v>
          </cell>
          <cell r="C600" t="str">
            <v>Director's remuneration</v>
          </cell>
        </row>
        <row r="601">
          <cell r="B601">
            <v>389</v>
          </cell>
          <cell r="C601" t="str">
            <v>Amortisation - intang f a</v>
          </cell>
        </row>
        <row r="602">
          <cell r="B602" t="str">
            <v>389/1</v>
          </cell>
          <cell r="C602" t="str">
            <v>Amortisation of goodwill disallowed</v>
          </cell>
        </row>
        <row r="603">
          <cell r="B603">
            <v>390</v>
          </cell>
          <cell r="C603" t="str">
            <v>Depreciation of tangible fixed assets</v>
          </cell>
        </row>
        <row r="604">
          <cell r="B604" t="str">
            <v>390/1</v>
          </cell>
          <cell r="C604" t="str">
            <v>Depreciation of freehold property</v>
          </cell>
        </row>
        <row r="605">
          <cell r="B605" t="str">
            <v>390/12</v>
          </cell>
          <cell r="C605" t="str">
            <v>Depreciation of plant and machinery</v>
          </cell>
        </row>
        <row r="606">
          <cell r="B606" t="str">
            <v>390/13</v>
          </cell>
          <cell r="C606" t="str">
            <v>Depreciation of fixtures and fittings</v>
          </cell>
        </row>
        <row r="607">
          <cell r="B607" t="str">
            <v>390/14</v>
          </cell>
          <cell r="C607" t="str">
            <v>Depreciation of motor vehicles</v>
          </cell>
        </row>
        <row r="608">
          <cell r="B608" t="str">
            <v>390/15</v>
          </cell>
          <cell r="C608" t="str">
            <v>Depreciation of computer equipment</v>
          </cell>
        </row>
        <row r="609">
          <cell r="B609">
            <v>391</v>
          </cell>
          <cell r="C609" t="str">
            <v>Profit/loss on sale intang f a</v>
          </cell>
        </row>
        <row r="610">
          <cell r="B610">
            <v>392</v>
          </cell>
          <cell r="C610" t="str">
            <v>Profit/loss on sale tan f a</v>
          </cell>
        </row>
        <row r="611">
          <cell r="B611" t="str">
            <v>392/12</v>
          </cell>
          <cell r="C611" t="str">
            <v>Profit/loss Plant &amp; Machinery</v>
          </cell>
        </row>
        <row r="612">
          <cell r="B612" t="str">
            <v>392/13</v>
          </cell>
          <cell r="C612" t="str">
            <v>Profit/loss Fixures &amp; fitting</v>
          </cell>
        </row>
        <row r="613">
          <cell r="B613" t="str">
            <v>392/14</v>
          </cell>
          <cell r="C613" t="str">
            <v>Profit/loss Motor Vehicles</v>
          </cell>
        </row>
        <row r="614">
          <cell r="B614" t="str">
            <v>392/15</v>
          </cell>
          <cell r="C614" t="str">
            <v>Profit/loss Computer Equipment</v>
          </cell>
        </row>
        <row r="615">
          <cell r="B615">
            <v>393</v>
          </cell>
          <cell r="C615" t="str">
            <v>Profit/loss on sale f a invest</v>
          </cell>
        </row>
        <row r="616">
          <cell r="B616">
            <v>394</v>
          </cell>
          <cell r="C616" t="str">
            <v>Impairment losses - intang f a</v>
          </cell>
        </row>
        <row r="617">
          <cell r="B617">
            <v>395</v>
          </cell>
          <cell r="C617" t="str">
            <v>Impairment losses - tang f a</v>
          </cell>
        </row>
        <row r="618">
          <cell r="B618">
            <v>396</v>
          </cell>
          <cell r="C618" t="str">
            <v>Exceptional items</v>
          </cell>
        </row>
        <row r="619">
          <cell r="B619">
            <v>397</v>
          </cell>
          <cell r="C619" t="str">
            <v>Gain/loss on revaln of assets</v>
          </cell>
        </row>
        <row r="620">
          <cell r="B620">
            <v>398</v>
          </cell>
          <cell r="C620" t="str">
            <v>JVs/assocs share of op profit</v>
          </cell>
        </row>
        <row r="621">
          <cell r="B621">
            <v>399</v>
          </cell>
          <cell r="C621" t="str">
            <v>JVs/assocs goodwill amortis</v>
          </cell>
        </row>
        <row r="622">
          <cell r="B622">
            <v>400</v>
          </cell>
          <cell r="C622" t="str">
            <v>Profit/loss on sale of operath</v>
          </cell>
        </row>
        <row r="623">
          <cell r="B623">
            <v>401</v>
          </cell>
          <cell r="C623" t="str">
            <v>Cost of fundamental reorg</v>
          </cell>
        </row>
        <row r="624">
          <cell r="B624">
            <v>402</v>
          </cell>
          <cell r="C624" t="str">
            <v>Profit/loss on sale intang f a</v>
          </cell>
        </row>
        <row r="625">
          <cell r="B625">
            <v>403</v>
          </cell>
          <cell r="C625" t="str">
            <v>Profit/loss on sale tang f a</v>
          </cell>
        </row>
        <row r="626">
          <cell r="B626">
            <v>404</v>
          </cell>
          <cell r="C626" t="str">
            <v>Profit/loss on sale of Invest</v>
          </cell>
        </row>
        <row r="627">
          <cell r="B627">
            <v>405</v>
          </cell>
          <cell r="C627" t="str">
            <v>JVs/assocs exceptional items</v>
          </cell>
        </row>
        <row r="628">
          <cell r="B628">
            <v>406</v>
          </cell>
          <cell r="C628" t="str">
            <v>Amounts w/o invs</v>
          </cell>
        </row>
        <row r="629">
          <cell r="B629">
            <v>407</v>
          </cell>
          <cell r="C629" t="str">
            <v>No Descriptions</v>
          </cell>
        </row>
        <row r="630">
          <cell r="B630">
            <v>408</v>
          </cell>
          <cell r="C630" t="str">
            <v>JVs/assocs amounts w/o invs</v>
          </cell>
        </row>
        <row r="631">
          <cell r="B631">
            <v>410</v>
          </cell>
          <cell r="C631" t="str">
            <v>Gain/loss on revaln of assets</v>
          </cell>
        </row>
        <row r="632">
          <cell r="B632">
            <v>413</v>
          </cell>
          <cell r="C632" t="str">
            <v>Bank Interest</v>
          </cell>
        </row>
        <row r="633">
          <cell r="B633">
            <v>414</v>
          </cell>
          <cell r="C633" t="str">
            <v>Bank loan interest</v>
          </cell>
        </row>
        <row r="634">
          <cell r="B634">
            <v>415</v>
          </cell>
          <cell r="C634" t="str">
            <v>No Descriptions</v>
          </cell>
        </row>
        <row r="635">
          <cell r="B635">
            <v>416</v>
          </cell>
          <cell r="C635" t="str">
            <v>No Descriptions</v>
          </cell>
        </row>
        <row r="636">
          <cell r="B636">
            <v>417</v>
          </cell>
          <cell r="C636" t="str">
            <v>No Descriptions</v>
          </cell>
        </row>
        <row r="637">
          <cell r="B637">
            <v>418</v>
          </cell>
          <cell r="C637" t="str">
            <v>Mortgage</v>
          </cell>
        </row>
        <row r="638">
          <cell r="B638">
            <v>419</v>
          </cell>
          <cell r="C638" t="str">
            <v>Loan</v>
          </cell>
        </row>
        <row r="639">
          <cell r="B639">
            <v>420</v>
          </cell>
          <cell r="C639" t="str">
            <v>No Descriptions</v>
          </cell>
        </row>
        <row r="640">
          <cell r="B640">
            <v>421</v>
          </cell>
          <cell r="C640" t="str">
            <v>Interest payable - non trade</v>
          </cell>
        </row>
        <row r="641">
          <cell r="B641">
            <v>422</v>
          </cell>
          <cell r="C641" t="str">
            <v>No Descriptions</v>
          </cell>
        </row>
        <row r="642">
          <cell r="B642">
            <v>423</v>
          </cell>
          <cell r="C642" t="str">
            <v>No Descriptions</v>
          </cell>
        </row>
        <row r="643">
          <cell r="B643">
            <v>424</v>
          </cell>
          <cell r="C643" t="str">
            <v>No Descriptions</v>
          </cell>
        </row>
        <row r="644">
          <cell r="B644">
            <v>426</v>
          </cell>
          <cell r="C644" t="str">
            <v>Hire Purchase</v>
          </cell>
        </row>
        <row r="645">
          <cell r="B645">
            <v>427</v>
          </cell>
          <cell r="C645" t="str">
            <v>Leasing</v>
          </cell>
        </row>
        <row r="646">
          <cell r="B646">
            <v>428</v>
          </cell>
          <cell r="C646" t="str">
            <v>No Descriptions</v>
          </cell>
        </row>
        <row r="647">
          <cell r="B647">
            <v>429</v>
          </cell>
          <cell r="C647" t="str">
            <v>No Descriptions</v>
          </cell>
        </row>
        <row r="648">
          <cell r="B648">
            <v>430</v>
          </cell>
          <cell r="C648" t="str">
            <v>No Descriptions</v>
          </cell>
        </row>
        <row r="649">
          <cell r="B649">
            <v>435</v>
          </cell>
          <cell r="C649" t="str">
            <v>Dividends - preference shares</v>
          </cell>
        </row>
        <row r="650">
          <cell r="B650">
            <v>436</v>
          </cell>
          <cell r="C650" t="str">
            <v>Exceptional items</v>
          </cell>
        </row>
        <row r="651">
          <cell r="B651">
            <v>437</v>
          </cell>
          <cell r="C651" t="str">
            <v>JVs/assocs int pay &amp; sim exps</v>
          </cell>
        </row>
        <row r="652">
          <cell r="B652">
            <v>438</v>
          </cell>
          <cell r="C652" t="str">
            <v>Interest income on pension sch</v>
          </cell>
        </row>
        <row r="653">
          <cell r="B653">
            <v>439</v>
          </cell>
          <cell r="C653" t="str">
            <v>Interest on pension scheme lia</v>
          </cell>
        </row>
        <row r="654">
          <cell r="B654">
            <v>440</v>
          </cell>
          <cell r="C654" t="str">
            <v>JVs/assocs other fin inc/costs</v>
          </cell>
        </row>
        <row r="655">
          <cell r="B655">
            <v>441</v>
          </cell>
          <cell r="C655" t="str">
            <v>JVs/assocs share profit/(loss)</v>
          </cell>
        </row>
        <row r="656">
          <cell r="B656">
            <v>442</v>
          </cell>
          <cell r="C656" t="str">
            <v>Tax</v>
          </cell>
        </row>
        <row r="657">
          <cell r="B657">
            <v>443</v>
          </cell>
          <cell r="C657" t="str">
            <v>No Descriptions</v>
          </cell>
        </row>
        <row r="658">
          <cell r="B658">
            <v>444</v>
          </cell>
          <cell r="C658" t="str">
            <v>No Descriptions</v>
          </cell>
        </row>
        <row r="659">
          <cell r="B659">
            <v>445</v>
          </cell>
          <cell r="C659" t="str">
            <v>No Descriptions</v>
          </cell>
        </row>
        <row r="660">
          <cell r="B660">
            <v>450</v>
          </cell>
          <cell r="C660" t="str">
            <v>Deferred tax</v>
          </cell>
        </row>
        <row r="661">
          <cell r="B661">
            <v>451</v>
          </cell>
          <cell r="C661" t="str">
            <v>No Descriptions</v>
          </cell>
        </row>
        <row r="662">
          <cell r="B662">
            <v>452</v>
          </cell>
          <cell r="C662" t="str">
            <v>No Descriptions</v>
          </cell>
        </row>
        <row r="663">
          <cell r="B663">
            <v>453</v>
          </cell>
          <cell r="C663" t="str">
            <v>No Descriptions</v>
          </cell>
        </row>
        <row r="664">
          <cell r="B664">
            <v>455</v>
          </cell>
          <cell r="C664" t="str">
            <v>Exceptional items</v>
          </cell>
        </row>
        <row r="665">
          <cell r="B665">
            <v>456</v>
          </cell>
          <cell r="C665" t="str">
            <v>Minority interest - equity</v>
          </cell>
        </row>
        <row r="666">
          <cell r="B666">
            <v>457</v>
          </cell>
          <cell r="C666" t="str">
            <v>Minority interest - non equity</v>
          </cell>
        </row>
        <row r="667">
          <cell r="B667">
            <v>460</v>
          </cell>
          <cell r="C667" t="str">
            <v>Extraordinary items</v>
          </cell>
        </row>
        <row r="668">
          <cell r="B668">
            <v>461</v>
          </cell>
          <cell r="C668" t="str">
            <v>Tax on extraord items</v>
          </cell>
        </row>
        <row r="669">
          <cell r="B669">
            <v>462</v>
          </cell>
          <cell r="C669" t="str">
            <v>Minority int re extraord items</v>
          </cell>
        </row>
        <row r="670">
          <cell r="B670">
            <v>463</v>
          </cell>
          <cell r="C670" t="str">
            <v>No Descriptions</v>
          </cell>
        </row>
        <row r="671">
          <cell r="B671">
            <v>466</v>
          </cell>
          <cell r="C671" t="str">
            <v>JVs/assocs corporation tax</v>
          </cell>
        </row>
        <row r="672">
          <cell r="B672">
            <v>467</v>
          </cell>
          <cell r="C672" t="str">
            <v>JVs/assocs deferred tax</v>
          </cell>
        </row>
        <row r="673">
          <cell r="B673">
            <v>471</v>
          </cell>
          <cell r="C673" t="str">
            <v>Dividends - Interim</v>
          </cell>
        </row>
        <row r="674">
          <cell r="B674">
            <v>472</v>
          </cell>
          <cell r="C674" t="str">
            <v>Dividends - Final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6.32"/>
    <col collapsed="false" customWidth="true" hidden="false" outlineLevel="0" max="2" min="2" style="2" width="10.34"/>
    <col collapsed="false" customWidth="true" hidden="false" outlineLevel="0" max="3" min="3" style="3" width="21.83"/>
    <col collapsed="false" customWidth="true" hidden="false" outlineLevel="0" max="4" min="4" style="1" width="46.99"/>
    <col collapsed="false" customWidth="true" hidden="false" outlineLevel="0" max="5" min="5" style="4" width="11.64"/>
    <col collapsed="false" customWidth="true" hidden="false" outlineLevel="0" max="6" min="6" style="5" width="9.9"/>
    <col collapsed="false" customWidth="true" hidden="false" outlineLevel="0" max="7" min="7" style="5" width="11.96"/>
    <col collapsed="false" customWidth="true" hidden="false" outlineLevel="0" max="8" min="8" style="1" width="22.49"/>
    <col collapsed="false" customWidth="false" hidden="false" outlineLevel="0" max="10" min="9" style="1" width="11.53"/>
  </cols>
  <sheetData>
    <row r="1" customFormat="false" ht="15" hidden="false" customHeight="true" outlineLevel="0" collapsed="false">
      <c r="A1" s="6" t="s">
        <v>0</v>
      </c>
      <c r="B1" s="4" t="s">
        <v>1</v>
      </c>
      <c r="C1" s="6"/>
      <c r="D1" s="6" t="s">
        <v>2</v>
      </c>
      <c r="E1" s="4" t="s">
        <v>3</v>
      </c>
      <c r="F1" s="4" t="s">
        <v>4</v>
      </c>
      <c r="G1" s="4" t="s">
        <v>5</v>
      </c>
    </row>
    <row r="2" customFormat="false" ht="15" hidden="false" customHeight="true" outlineLevel="0" collapsed="false">
      <c r="A2" s="7" t="n">
        <v>59</v>
      </c>
      <c r="B2" s="8" t="n">
        <v>45118</v>
      </c>
      <c r="C2" s="9" t="s">
        <v>6</v>
      </c>
      <c r="D2" s="10" t="s">
        <v>7</v>
      </c>
      <c r="E2" s="11" t="n">
        <v>54</v>
      </c>
      <c r="F2" s="12"/>
      <c r="G2" s="12" t="n">
        <v>0.05</v>
      </c>
      <c r="H2" s="1" t="str">
        <f aca="false">VLOOKUP($E2,[1]ETB!$B$66:$C$674,2,0)</f>
        <v>Direct cost</v>
      </c>
    </row>
    <row r="3" customFormat="false" ht="15" hidden="false" customHeight="true" outlineLevel="0" collapsed="false">
      <c r="A3" s="7" t="n">
        <v>65</v>
      </c>
      <c r="B3" s="8" t="n">
        <v>45118</v>
      </c>
      <c r="C3" s="9" t="s">
        <v>6</v>
      </c>
      <c r="D3" s="10" t="s">
        <v>7</v>
      </c>
      <c r="E3" s="11" t="n">
        <v>54</v>
      </c>
      <c r="F3" s="12"/>
      <c r="G3" s="12" t="n">
        <v>0.03</v>
      </c>
      <c r="H3" s="1" t="str">
        <f aca="false">VLOOKUP($E3,[1]ETB!$B$66:$C$674,2,0)</f>
        <v>Direct cost</v>
      </c>
    </row>
    <row r="4" customFormat="false" ht="15" hidden="false" customHeight="true" outlineLevel="0" collapsed="false">
      <c r="A4" s="7" t="n">
        <v>70</v>
      </c>
      <c r="B4" s="8" t="n">
        <v>45126</v>
      </c>
      <c r="C4" s="9" t="s">
        <v>8</v>
      </c>
      <c r="D4" s="10" t="s">
        <v>9</v>
      </c>
      <c r="E4" s="11" t="n">
        <v>54</v>
      </c>
      <c r="F4" s="12"/>
      <c r="G4" s="12" t="n">
        <v>0.08</v>
      </c>
      <c r="H4" s="1" t="str">
        <f aca="false">VLOOKUP($E4,[1]ETB!$B$66:$C$674,2,0)</f>
        <v>Direct cost</v>
      </c>
    </row>
    <row r="5" customFormat="false" ht="15" hidden="false" customHeight="true" outlineLevel="0" collapsed="false">
      <c r="A5" s="7" t="n">
        <v>82</v>
      </c>
      <c r="B5" s="8" t="n">
        <v>45117</v>
      </c>
      <c r="C5" s="9" t="s">
        <v>6</v>
      </c>
      <c r="D5" s="10" t="s">
        <v>10</v>
      </c>
      <c r="E5" s="11" t="n">
        <v>54</v>
      </c>
      <c r="F5" s="12"/>
      <c r="G5" s="12" t="n">
        <v>190.66</v>
      </c>
      <c r="H5" s="1" t="str">
        <f aca="false">VLOOKUP($E5,[1]ETB!$B$66:$C$674,2,0)</f>
        <v>Direct cost</v>
      </c>
    </row>
    <row r="6" customFormat="false" ht="15" hidden="false" customHeight="true" outlineLevel="0" collapsed="false">
      <c r="A6" s="7" t="n">
        <v>86</v>
      </c>
      <c r="B6" s="8" t="n">
        <v>45201</v>
      </c>
      <c r="C6" s="9" t="s">
        <v>6</v>
      </c>
      <c r="D6" s="10" t="s">
        <v>11</v>
      </c>
      <c r="E6" s="11" t="n">
        <v>54</v>
      </c>
      <c r="F6" s="12"/>
      <c r="G6" s="12" t="n">
        <v>178.46</v>
      </c>
      <c r="H6" s="1" t="str">
        <f aca="false">VLOOKUP($E6,[1]ETB!$B$66:$C$674,2,0)</f>
        <v>Direct cost</v>
      </c>
    </row>
    <row r="7" customFormat="false" ht="15" hidden="false" customHeight="true" outlineLevel="0" collapsed="false">
      <c r="A7" s="7" t="n">
        <v>87</v>
      </c>
      <c r="B7" s="8" t="n">
        <v>45210</v>
      </c>
      <c r="C7" s="9" t="s">
        <v>6</v>
      </c>
      <c r="D7" s="10" t="s">
        <v>12</v>
      </c>
      <c r="E7" s="11" t="n">
        <v>54</v>
      </c>
      <c r="F7" s="12"/>
      <c r="G7" s="12" t="n">
        <v>44.97</v>
      </c>
      <c r="H7" s="1" t="str">
        <f aca="false">VLOOKUP($E7,[1]ETB!$B$66:$C$674,2,0)</f>
        <v>Direct cost</v>
      </c>
    </row>
    <row r="8" customFormat="false" ht="15" hidden="false" customHeight="true" outlineLevel="0" collapsed="false">
      <c r="A8" s="7" t="n">
        <v>91</v>
      </c>
      <c r="B8" s="8" t="n">
        <v>44950</v>
      </c>
      <c r="C8" s="9" t="s">
        <v>13</v>
      </c>
      <c r="D8" s="10" t="s">
        <v>14</v>
      </c>
      <c r="E8" s="11" t="n">
        <v>54</v>
      </c>
      <c r="F8" s="12"/>
      <c r="G8" s="12" t="n">
        <v>199</v>
      </c>
      <c r="H8" s="1" t="str">
        <f aca="false">VLOOKUP($E8,[1]ETB!$B$66:$C$674,2,0)</f>
        <v>Direct cost</v>
      </c>
    </row>
    <row r="9" customFormat="false" ht="15" hidden="false" customHeight="true" outlineLevel="0" collapsed="false">
      <c r="A9" s="7" t="n">
        <v>92</v>
      </c>
      <c r="B9" s="8" t="n">
        <v>44950</v>
      </c>
      <c r="C9" s="9" t="s">
        <v>13</v>
      </c>
      <c r="D9" s="10" t="s">
        <v>15</v>
      </c>
      <c r="E9" s="11" t="n">
        <v>54</v>
      </c>
      <c r="F9" s="12"/>
      <c r="G9" s="12" t="n">
        <v>6.03</v>
      </c>
      <c r="H9" s="1" t="str">
        <f aca="false">VLOOKUP($E9,[1]ETB!$B$66:$C$674,2,0)</f>
        <v>Direct cost</v>
      </c>
    </row>
    <row r="10" customFormat="false" ht="15" hidden="false" customHeight="true" outlineLevel="0" collapsed="false">
      <c r="A10" s="7" t="n">
        <v>98</v>
      </c>
      <c r="B10" s="8" t="n">
        <v>45189</v>
      </c>
      <c r="C10" s="9" t="s">
        <v>13</v>
      </c>
      <c r="D10" s="10" t="s">
        <v>16</v>
      </c>
      <c r="E10" s="11" t="n">
        <v>54</v>
      </c>
      <c r="F10" s="12"/>
      <c r="G10" s="12" t="n">
        <v>115</v>
      </c>
      <c r="H10" s="1" t="str">
        <f aca="false">VLOOKUP($E10,[1]ETB!$B$66:$C$674,2,0)</f>
        <v>Direct cost</v>
      </c>
    </row>
    <row r="11" customFormat="false" ht="15" hidden="false" customHeight="true" outlineLevel="0" collapsed="false">
      <c r="A11" s="7" t="n">
        <v>311</v>
      </c>
      <c r="B11" s="8" t="n">
        <v>45222</v>
      </c>
      <c r="C11" s="9" t="s">
        <v>13</v>
      </c>
      <c r="D11" s="10" t="s">
        <v>17</v>
      </c>
      <c r="E11" s="11" t="n">
        <v>54</v>
      </c>
      <c r="F11" s="12"/>
      <c r="G11" s="12" t="n">
        <v>20</v>
      </c>
      <c r="H11" s="1" t="str">
        <f aca="false">VLOOKUP($E11,[1]ETB!$B$66:$C$674,2,0)</f>
        <v>Direct cost</v>
      </c>
    </row>
    <row r="12" customFormat="false" ht="15" hidden="false" customHeight="true" outlineLevel="0" collapsed="false">
      <c r="A12" s="7" t="n">
        <v>100</v>
      </c>
      <c r="B12" s="8" t="n">
        <v>45184</v>
      </c>
      <c r="C12" s="9" t="s">
        <v>13</v>
      </c>
      <c r="D12" s="10" t="s">
        <v>18</v>
      </c>
      <c r="E12" s="11" t="n">
        <v>54</v>
      </c>
      <c r="F12" s="12"/>
      <c r="G12" s="12" t="n">
        <v>160</v>
      </c>
      <c r="H12" s="1" t="str">
        <f aca="false">VLOOKUP($E12,[1]ETB!$B$66:$C$674,2,0)</f>
        <v>Direct cost</v>
      </c>
    </row>
    <row r="13" customFormat="false" ht="15" hidden="false" customHeight="true" outlineLevel="0" collapsed="false">
      <c r="A13" s="7" t="n">
        <v>350</v>
      </c>
      <c r="B13" s="8" t="n">
        <v>44979</v>
      </c>
      <c r="C13" s="9" t="s">
        <v>13</v>
      </c>
      <c r="D13" s="10" t="s">
        <v>19</v>
      </c>
      <c r="E13" s="11" t="n">
        <v>54</v>
      </c>
      <c r="F13" s="12"/>
      <c r="G13" s="12" t="n">
        <v>90.9</v>
      </c>
      <c r="H13" s="1" t="str">
        <f aca="false">VLOOKUP($E13,[1]ETB!$B$66:$C$674,2,0)</f>
        <v>Direct cost</v>
      </c>
    </row>
    <row r="14" customFormat="false" ht="15" hidden="false" customHeight="true" outlineLevel="0" collapsed="false">
      <c r="A14" s="7"/>
      <c r="B14" s="13"/>
      <c r="C14" s="14"/>
      <c r="E14" s="15" t="s">
        <v>20</v>
      </c>
      <c r="F14" s="16" t="e">
        <f aca="false">SUBTOTAL(9,#REF!)</f>
        <v>#REF!</v>
      </c>
      <c r="G14" s="16" t="e">
        <f aca="false">SUBTOTAL(9,#REF!)</f>
        <v>#REF!</v>
      </c>
    </row>
    <row r="15" customFormat="false" ht="15" hidden="false" customHeight="true" outlineLevel="0" collapsed="false">
      <c r="A15" s="7" t="n">
        <v>115</v>
      </c>
      <c r="B15" s="8" t="n">
        <v>45131</v>
      </c>
      <c r="C15" s="9" t="s">
        <v>6</v>
      </c>
      <c r="D15" s="10" t="s">
        <v>21</v>
      </c>
      <c r="E15" s="11" t="n">
        <v>92</v>
      </c>
      <c r="F15" s="12"/>
      <c r="G15" s="12" t="n">
        <v>176</v>
      </c>
      <c r="H15" s="1" t="str">
        <f aca="false">VLOOKUP($E15,[1]ETB!$B$66:$C$674,2,0)</f>
        <v>Other income</v>
      </c>
    </row>
    <row r="16" customFormat="false" ht="15" hidden="false" customHeight="true" outlineLevel="0" collapsed="false">
      <c r="A16" s="7" t="n">
        <v>124</v>
      </c>
      <c r="B16" s="8" t="n">
        <v>44963</v>
      </c>
      <c r="C16" s="9" t="s">
        <v>22</v>
      </c>
      <c r="D16" s="10" t="s">
        <v>23</v>
      </c>
      <c r="E16" s="11" t="n">
        <v>92</v>
      </c>
      <c r="F16" s="12"/>
      <c r="G16" s="12" t="n">
        <v>1.09</v>
      </c>
      <c r="H16" s="1" t="str">
        <f aca="false">VLOOKUP($E16,[1]ETB!$B$66:$C$674,2,0)</f>
        <v>Other income</v>
      </c>
    </row>
    <row r="17" customFormat="false" ht="15" hidden="false" customHeight="true" outlineLevel="0" collapsed="false">
      <c r="A17" s="7" t="n">
        <v>81</v>
      </c>
      <c r="B17" s="8" t="n">
        <v>45019</v>
      </c>
      <c r="C17" s="9" t="s">
        <v>22</v>
      </c>
      <c r="D17" s="10" t="s">
        <v>24</v>
      </c>
      <c r="E17" s="11" t="n">
        <v>92</v>
      </c>
      <c r="F17" s="12"/>
      <c r="G17" s="12" t="n">
        <v>1.95</v>
      </c>
      <c r="H17" s="1" t="str">
        <f aca="false">VLOOKUP($E17,[1]ETB!$B$66:$C$674,2,0)</f>
        <v>Other income</v>
      </c>
    </row>
    <row r="18" customFormat="false" ht="15" hidden="false" customHeight="true" outlineLevel="0" collapsed="false">
      <c r="A18" s="7" t="n">
        <v>164</v>
      </c>
      <c r="B18" s="8" t="n">
        <v>44991</v>
      </c>
      <c r="C18" s="9" t="s">
        <v>22</v>
      </c>
      <c r="D18" s="10" t="s">
        <v>25</v>
      </c>
      <c r="E18" s="11" t="n">
        <v>92</v>
      </c>
      <c r="F18" s="12"/>
      <c r="G18" s="12" t="n">
        <v>1.51</v>
      </c>
      <c r="H18" s="1" t="str">
        <f aca="false">VLOOKUP($E18,[1]ETB!$B$66:$C$674,2,0)</f>
        <v>Other income</v>
      </c>
    </row>
    <row r="19" customFormat="false" ht="15" hidden="false" customHeight="true" outlineLevel="0" collapsed="false">
      <c r="A19" s="7" t="n">
        <v>180</v>
      </c>
      <c r="B19" s="8" t="n">
        <v>45055</v>
      </c>
      <c r="C19" s="9" t="s">
        <v>22</v>
      </c>
      <c r="D19" s="10" t="s">
        <v>26</v>
      </c>
      <c r="E19" s="11" t="n">
        <v>92</v>
      </c>
      <c r="F19" s="12"/>
      <c r="G19" s="12" t="n">
        <v>4.97</v>
      </c>
      <c r="H19" s="1" t="str">
        <f aca="false">VLOOKUP($E19,[1]ETB!$B$66:$C$674,2,0)</f>
        <v>Other income</v>
      </c>
    </row>
    <row r="20" customFormat="false" ht="15" hidden="false" customHeight="true" outlineLevel="0" collapsed="false">
      <c r="A20" s="7" t="n">
        <v>185</v>
      </c>
      <c r="B20" s="8" t="n">
        <v>44935</v>
      </c>
      <c r="C20" s="9" t="s">
        <v>22</v>
      </c>
      <c r="D20" s="10" t="s">
        <v>27</v>
      </c>
      <c r="E20" s="11" t="n">
        <v>92</v>
      </c>
      <c r="F20" s="12"/>
      <c r="G20" s="12" t="n">
        <v>0.23</v>
      </c>
      <c r="H20" s="1" t="str">
        <f aca="false">VLOOKUP($E20,[1]ETB!$B$66:$C$674,2,0)</f>
        <v>Other income</v>
      </c>
    </row>
    <row r="21" customFormat="false" ht="15" hidden="false" customHeight="true" outlineLevel="0" collapsed="false">
      <c r="A21" s="7" t="n">
        <v>208</v>
      </c>
      <c r="B21" s="8" t="n">
        <v>45154</v>
      </c>
      <c r="C21" s="9" t="s">
        <v>6</v>
      </c>
      <c r="D21" s="10" t="s">
        <v>28</v>
      </c>
      <c r="E21" s="11" t="n">
        <v>92</v>
      </c>
      <c r="F21" s="12"/>
      <c r="G21" s="12" t="n">
        <v>57</v>
      </c>
      <c r="H21" s="1" t="str">
        <f aca="false">VLOOKUP($E21,[1]ETB!$B$66:$C$674,2,0)</f>
        <v>Other income</v>
      </c>
    </row>
    <row r="22" customFormat="false" ht="15" hidden="false" customHeight="true" outlineLevel="0" collapsed="false">
      <c r="A22" s="7" t="n">
        <v>220</v>
      </c>
      <c r="B22" s="8" t="n">
        <v>45167</v>
      </c>
      <c r="C22" s="9" t="s">
        <v>6</v>
      </c>
      <c r="D22" s="10" t="s">
        <v>29</v>
      </c>
      <c r="E22" s="11" t="n">
        <v>92</v>
      </c>
      <c r="F22" s="12"/>
      <c r="G22" s="12" t="n">
        <v>100</v>
      </c>
      <c r="H22" s="1" t="str">
        <f aca="false">VLOOKUP($E22,[1]ETB!$B$66:$C$674,2,0)</f>
        <v>Other income</v>
      </c>
    </row>
    <row r="23" customFormat="false" ht="15" hidden="false" customHeight="true" outlineLevel="0" collapsed="false">
      <c r="A23" s="7" t="n">
        <v>370</v>
      </c>
      <c r="B23" s="8" t="n">
        <v>45006</v>
      </c>
      <c r="C23" s="9" t="s">
        <v>30</v>
      </c>
      <c r="D23" s="10" t="s">
        <v>31</v>
      </c>
      <c r="E23" s="11" t="n">
        <v>92</v>
      </c>
      <c r="F23" s="12"/>
      <c r="G23" s="12" t="n">
        <v>75</v>
      </c>
      <c r="H23" s="1" t="str">
        <f aca="false">VLOOKUP($E23,[1]ETB!$B$66:$C$674,2,0)</f>
        <v>Other income</v>
      </c>
    </row>
    <row r="24" customFormat="false" ht="15" hidden="false" customHeight="true" outlineLevel="0" collapsed="false">
      <c r="A24" s="7" t="n">
        <v>5</v>
      </c>
      <c r="B24" s="8" t="n">
        <v>45202</v>
      </c>
      <c r="C24" s="9" t="s">
        <v>13</v>
      </c>
      <c r="D24" s="10" t="s">
        <v>32</v>
      </c>
      <c r="E24" s="11" t="n">
        <v>92</v>
      </c>
      <c r="F24" s="12"/>
      <c r="G24" s="12" t="n">
        <v>360</v>
      </c>
      <c r="H24" s="1" t="str">
        <f aca="false">VLOOKUP($E24,[1]ETB!$B$66:$C$674,2,0)</f>
        <v>Other income</v>
      </c>
    </row>
    <row r="25" customFormat="false" ht="15" hidden="false" customHeight="true" outlineLevel="0" collapsed="false">
      <c r="A25" s="7" t="n">
        <v>23</v>
      </c>
      <c r="B25" s="8" t="n">
        <v>44935</v>
      </c>
      <c r="C25" s="9" t="s">
        <v>13</v>
      </c>
      <c r="D25" s="10" t="s">
        <v>33</v>
      </c>
      <c r="E25" s="11" t="n">
        <v>92</v>
      </c>
      <c r="F25" s="12"/>
      <c r="G25" s="12" t="n">
        <v>112</v>
      </c>
      <c r="H25" s="1" t="str">
        <f aca="false">VLOOKUP($E25,[1]ETB!$B$66:$C$674,2,0)</f>
        <v>Other income</v>
      </c>
    </row>
    <row r="26" customFormat="false" ht="15" hidden="false" customHeight="true" outlineLevel="0" collapsed="false">
      <c r="A26" s="7" t="n">
        <v>42</v>
      </c>
      <c r="B26" s="8" t="n">
        <v>45114</v>
      </c>
      <c r="C26" s="9" t="s">
        <v>13</v>
      </c>
      <c r="D26" s="10" t="s">
        <v>34</v>
      </c>
      <c r="E26" s="11" t="n">
        <v>92</v>
      </c>
      <c r="F26" s="12"/>
      <c r="G26" s="12" t="n">
        <v>390</v>
      </c>
      <c r="H26" s="1" t="str">
        <f aca="false">VLOOKUP($E26,[1]ETB!$B$66:$C$674,2,0)</f>
        <v>Other income</v>
      </c>
    </row>
    <row r="27" customFormat="false" ht="15" hidden="false" customHeight="true" outlineLevel="0" collapsed="false">
      <c r="A27" s="7" t="n">
        <v>48</v>
      </c>
      <c r="B27" s="8" t="n">
        <v>45211</v>
      </c>
      <c r="C27" s="9" t="s">
        <v>13</v>
      </c>
      <c r="D27" s="10" t="s">
        <v>35</v>
      </c>
      <c r="E27" s="11" t="n">
        <v>92</v>
      </c>
      <c r="F27" s="12"/>
      <c r="G27" s="12" t="n">
        <v>400</v>
      </c>
      <c r="H27" s="1" t="str">
        <f aca="false">VLOOKUP($E27,[1]ETB!$B$66:$C$674,2,0)</f>
        <v>Other income</v>
      </c>
    </row>
    <row r="28" customFormat="false" ht="15" hidden="false" customHeight="true" outlineLevel="0" collapsed="false">
      <c r="A28" s="7" t="n">
        <v>154</v>
      </c>
      <c r="B28" s="8" t="n">
        <v>45222</v>
      </c>
      <c r="C28" s="9" t="s">
        <v>13</v>
      </c>
      <c r="D28" s="10" t="s">
        <v>36</v>
      </c>
      <c r="E28" s="11" t="n">
        <v>92</v>
      </c>
      <c r="F28" s="12"/>
      <c r="G28" s="12" t="n">
        <v>320</v>
      </c>
      <c r="H28" s="1" t="str">
        <f aca="false">VLOOKUP($E28,[1]ETB!$B$66:$C$674,2,0)</f>
        <v>Other income</v>
      </c>
    </row>
    <row r="29" customFormat="false" ht="15" hidden="false" customHeight="true" outlineLevel="0" collapsed="false">
      <c r="A29" s="7" t="n">
        <v>264</v>
      </c>
      <c r="B29" s="8" t="n">
        <v>45161</v>
      </c>
      <c r="C29" s="9" t="s">
        <v>13</v>
      </c>
      <c r="D29" s="10" t="s">
        <v>37</v>
      </c>
      <c r="E29" s="11" t="n">
        <v>92</v>
      </c>
      <c r="F29" s="12"/>
      <c r="G29" s="12" t="n">
        <v>305</v>
      </c>
      <c r="H29" s="1" t="str">
        <f aca="false">VLOOKUP($E29,[1]ETB!$B$66:$C$674,2,0)</f>
        <v>Other income</v>
      </c>
    </row>
    <row r="30" customFormat="false" ht="15" hidden="false" customHeight="true" outlineLevel="0" collapsed="false">
      <c r="A30" s="7" t="n">
        <v>276</v>
      </c>
      <c r="B30" s="8" t="n">
        <v>45163</v>
      </c>
      <c r="C30" s="9" t="s">
        <v>13</v>
      </c>
      <c r="D30" s="10" t="s">
        <v>38</v>
      </c>
      <c r="E30" s="11" t="n">
        <v>92</v>
      </c>
      <c r="F30" s="12"/>
      <c r="G30" s="12" t="n">
        <v>159.3</v>
      </c>
      <c r="H30" s="1" t="str">
        <f aca="false">VLOOKUP($E30,[1]ETB!$B$66:$C$674,2,0)</f>
        <v>Other income</v>
      </c>
    </row>
    <row r="31" customFormat="false" ht="15" hidden="false" customHeight="true" outlineLevel="0" collapsed="false">
      <c r="A31" s="7" t="n">
        <v>332</v>
      </c>
      <c r="B31" s="8" t="n">
        <v>45167</v>
      </c>
      <c r="C31" s="9" t="s">
        <v>13</v>
      </c>
      <c r="D31" s="10" t="s">
        <v>39</v>
      </c>
      <c r="E31" s="11" t="n">
        <v>92</v>
      </c>
      <c r="F31" s="12"/>
      <c r="G31" s="12" t="n">
        <v>305</v>
      </c>
      <c r="H31" s="1" t="str">
        <f aca="false">VLOOKUP($E31,[1]ETB!$B$66:$C$674,2,0)</f>
        <v>Other income</v>
      </c>
    </row>
    <row r="32" customFormat="false" ht="15" hidden="false" customHeight="true" outlineLevel="0" collapsed="false">
      <c r="A32" s="7" t="n">
        <v>262</v>
      </c>
      <c r="B32" s="8" t="n">
        <v>45195</v>
      </c>
      <c r="C32" s="9" t="s">
        <v>13</v>
      </c>
      <c r="D32" s="10" t="s">
        <v>40</v>
      </c>
      <c r="E32" s="11" t="n">
        <v>92</v>
      </c>
      <c r="F32" s="12"/>
      <c r="G32" s="12" t="n">
        <v>355</v>
      </c>
      <c r="H32" s="1" t="str">
        <f aca="false">VLOOKUP($E32,[1]ETB!$B$66:$C$674,2,0)</f>
        <v>Other income</v>
      </c>
    </row>
    <row r="33" customFormat="false" ht="15" hidden="false" customHeight="true" outlineLevel="0" collapsed="false">
      <c r="A33" s="7" t="n">
        <v>268</v>
      </c>
      <c r="B33" s="8" t="n">
        <v>45135</v>
      </c>
      <c r="C33" s="9" t="s">
        <v>13</v>
      </c>
      <c r="D33" s="10" t="s">
        <v>41</v>
      </c>
      <c r="E33" s="11" t="n">
        <v>92</v>
      </c>
      <c r="F33" s="12"/>
      <c r="G33" s="12" t="n">
        <v>355</v>
      </c>
      <c r="H33" s="1" t="str">
        <f aca="false">VLOOKUP($E33,[1]ETB!$B$66:$C$674,2,0)</f>
        <v>Other income</v>
      </c>
    </row>
    <row r="34" customFormat="false" ht="15" hidden="false" customHeight="true" outlineLevel="0" collapsed="false">
      <c r="A34" s="7" t="n">
        <v>329</v>
      </c>
      <c r="B34" s="8" t="n">
        <v>45229</v>
      </c>
      <c r="C34" s="9" t="s">
        <v>13</v>
      </c>
      <c r="D34" s="10" t="s">
        <v>42</v>
      </c>
      <c r="E34" s="11" t="n">
        <v>92</v>
      </c>
      <c r="F34" s="12"/>
      <c r="G34" s="12" t="n">
        <v>700</v>
      </c>
      <c r="H34" s="1" t="str">
        <f aca="false">VLOOKUP($E34,[1]ETB!$B$66:$C$674,2,0)</f>
        <v>Other income</v>
      </c>
    </row>
    <row r="35" customFormat="false" ht="15" hidden="false" customHeight="true" outlineLevel="0" collapsed="false">
      <c r="A35" s="7" t="n">
        <v>335</v>
      </c>
      <c r="B35" s="8" t="n">
        <v>45197</v>
      </c>
      <c r="C35" s="9" t="s">
        <v>13</v>
      </c>
      <c r="D35" s="10" t="s">
        <v>43</v>
      </c>
      <c r="E35" s="11" t="n">
        <v>92</v>
      </c>
      <c r="F35" s="12"/>
      <c r="G35" s="12" t="n">
        <v>310</v>
      </c>
      <c r="H35" s="1" t="str">
        <f aca="false">VLOOKUP($E35,[1]ETB!$B$66:$C$674,2,0)</f>
        <v>Other income</v>
      </c>
    </row>
    <row r="36" customFormat="false" ht="15" hidden="false" customHeight="true" outlineLevel="0" collapsed="false">
      <c r="A36" s="7" t="n">
        <v>365</v>
      </c>
      <c r="B36" s="8" t="n">
        <v>45106</v>
      </c>
      <c r="C36" s="9" t="s">
        <v>13</v>
      </c>
      <c r="D36" s="10" t="s">
        <v>44</v>
      </c>
      <c r="E36" s="11" t="n">
        <v>92</v>
      </c>
      <c r="F36" s="12"/>
      <c r="G36" s="12" t="n">
        <v>390</v>
      </c>
      <c r="H36" s="1" t="str">
        <f aca="false">VLOOKUP($E36,[1]ETB!$B$66:$C$674,2,0)</f>
        <v>Other income</v>
      </c>
    </row>
    <row r="37" customFormat="false" ht="15" hidden="false" customHeight="true" outlineLevel="0" collapsed="false">
      <c r="A37" s="7" t="n">
        <v>346</v>
      </c>
      <c r="B37" s="8" t="n">
        <v>45198</v>
      </c>
      <c r="C37" s="9" t="s">
        <v>13</v>
      </c>
      <c r="D37" s="10" t="s">
        <v>45</v>
      </c>
      <c r="E37" s="11" t="n">
        <v>92</v>
      </c>
      <c r="F37" s="12"/>
      <c r="G37" s="12" t="n">
        <v>360</v>
      </c>
      <c r="H37" s="1" t="str">
        <f aca="false">VLOOKUP($E37,[1]ETB!$B$66:$C$674,2,0)</f>
        <v>Other income</v>
      </c>
    </row>
    <row r="38" customFormat="false" ht="15" hidden="false" customHeight="true" outlineLevel="0" collapsed="false">
      <c r="A38" s="7" t="n">
        <v>352</v>
      </c>
      <c r="B38" s="8" t="n">
        <v>45198</v>
      </c>
      <c r="C38" s="9" t="s">
        <v>13</v>
      </c>
      <c r="D38" s="10" t="s">
        <v>45</v>
      </c>
      <c r="E38" s="11" t="n">
        <v>92</v>
      </c>
      <c r="F38" s="12"/>
      <c r="G38" s="12" t="n">
        <v>360</v>
      </c>
      <c r="H38" s="1" t="str">
        <f aca="false">VLOOKUP($E38,[1]ETB!$B$66:$C$674,2,0)</f>
        <v>Other income</v>
      </c>
    </row>
    <row r="39" customFormat="false" ht="15" hidden="false" customHeight="true" outlineLevel="0" collapsed="false">
      <c r="A39" s="7" t="n">
        <v>9</v>
      </c>
      <c r="B39" s="8" t="n">
        <v>45078</v>
      </c>
      <c r="C39" s="9" t="s">
        <v>13</v>
      </c>
      <c r="D39" s="10" t="s">
        <v>46</v>
      </c>
      <c r="E39" s="11" t="n">
        <v>92</v>
      </c>
      <c r="F39" s="12"/>
      <c r="G39" s="12" t="n">
        <v>260</v>
      </c>
      <c r="H39" s="1" t="str">
        <f aca="false">VLOOKUP($E39,[1]ETB!$B$66:$C$674,2,0)</f>
        <v>Other income</v>
      </c>
    </row>
    <row r="40" customFormat="false" ht="15" hidden="false" customHeight="true" outlineLevel="0" collapsed="false">
      <c r="A40" s="7"/>
      <c r="B40" s="8"/>
      <c r="C40" s="9"/>
      <c r="D40" s="10"/>
      <c r="E40" s="17" t="s">
        <v>47</v>
      </c>
      <c r="F40" s="18" t="n">
        <f aca="false">SUBTOTAL(9,F14:F38)</f>
        <v>0</v>
      </c>
      <c r="G40" s="18" t="n">
        <f aca="false">SUBTOTAL(9,G14:G38)</f>
        <v>5599.05</v>
      </c>
    </row>
    <row r="41" customFormat="false" ht="15" hidden="false" customHeight="true" outlineLevel="0" collapsed="false">
      <c r="A41" s="7" t="n">
        <v>14</v>
      </c>
      <c r="B41" s="8" t="n">
        <v>45055</v>
      </c>
      <c r="C41" s="9" t="s">
        <v>13</v>
      </c>
      <c r="D41" s="10" t="s">
        <v>48</v>
      </c>
      <c r="E41" s="11" t="n">
        <v>235</v>
      </c>
      <c r="F41" s="12"/>
      <c r="G41" s="12" t="n">
        <v>19.98</v>
      </c>
      <c r="H41" s="1" t="str">
        <f aca="false">VLOOKUP($E41,[1]ETB!$B$66:$C$674,2,0)</f>
        <v>Contra Entry</v>
      </c>
    </row>
    <row r="42" customFormat="false" ht="15" hidden="false" customHeight="true" outlineLevel="0" collapsed="false">
      <c r="A42" s="7" t="n">
        <v>18</v>
      </c>
      <c r="B42" s="8" t="n">
        <v>45058</v>
      </c>
      <c r="C42" s="9" t="s">
        <v>13</v>
      </c>
      <c r="D42" s="10" t="s">
        <v>49</v>
      </c>
      <c r="E42" s="11" t="n">
        <v>235</v>
      </c>
      <c r="F42" s="12"/>
      <c r="G42" s="12" t="n">
        <v>5.98</v>
      </c>
      <c r="H42" s="1" t="str">
        <f aca="false">VLOOKUP($E42,[1]ETB!$B$66:$C$674,2,0)</f>
        <v>Contra Entry</v>
      </c>
    </row>
    <row r="43" customFormat="false" ht="15" hidden="false" customHeight="true" outlineLevel="0" collapsed="false">
      <c r="A43" s="7" t="n">
        <v>72</v>
      </c>
      <c r="B43" s="8" t="n">
        <v>44993</v>
      </c>
      <c r="C43" s="9" t="s">
        <v>6</v>
      </c>
      <c r="D43" s="10" t="s">
        <v>50</v>
      </c>
      <c r="E43" s="11" t="n">
        <v>235</v>
      </c>
      <c r="F43" s="12"/>
      <c r="G43" s="12" t="n">
        <v>4189</v>
      </c>
      <c r="H43" s="1" t="str">
        <f aca="false">VLOOKUP($E43,[1]ETB!$B$66:$C$674,2,0)</f>
        <v>Contra Entry</v>
      </c>
    </row>
    <row r="44" customFormat="false" ht="15" hidden="false" customHeight="true" outlineLevel="0" collapsed="false">
      <c r="A44" s="7" t="n">
        <v>278</v>
      </c>
      <c r="B44" s="8" t="n">
        <v>45194</v>
      </c>
      <c r="C44" s="9" t="s">
        <v>6</v>
      </c>
      <c r="D44" s="10" t="s">
        <v>51</v>
      </c>
      <c r="E44" s="11" t="n">
        <v>235</v>
      </c>
      <c r="F44" s="12"/>
      <c r="G44" s="12" t="n">
        <v>289</v>
      </c>
      <c r="H44" s="1" t="str">
        <f aca="false">VLOOKUP($E44,[1]ETB!$B$66:$C$674,2,0)</f>
        <v>Contra Entry</v>
      </c>
    </row>
    <row r="45" customFormat="false" ht="15" hidden="false" customHeight="true" outlineLevel="0" collapsed="false">
      <c r="A45" s="7" t="n">
        <v>289</v>
      </c>
      <c r="B45" s="8" t="n">
        <v>45196</v>
      </c>
      <c r="C45" s="9" t="s">
        <v>6</v>
      </c>
      <c r="D45" s="10" t="s">
        <v>52</v>
      </c>
      <c r="E45" s="11" t="n">
        <v>235</v>
      </c>
      <c r="F45" s="12"/>
      <c r="G45" s="12" t="n">
        <v>289</v>
      </c>
      <c r="H45" s="1" t="str">
        <f aca="false">VLOOKUP($E45,[1]ETB!$B$66:$C$674,2,0)</f>
        <v>Contra Entry</v>
      </c>
    </row>
    <row r="46" customFormat="false" ht="15" hidden="false" customHeight="true" outlineLevel="0" collapsed="false">
      <c r="A46" s="7" t="n">
        <v>71</v>
      </c>
      <c r="B46" s="8" t="n">
        <v>45183</v>
      </c>
      <c r="C46" s="9" t="s">
        <v>13</v>
      </c>
      <c r="D46" s="10" t="s">
        <v>53</v>
      </c>
      <c r="E46" s="11" t="n">
        <v>235</v>
      </c>
      <c r="F46" s="12"/>
      <c r="G46" s="12" t="n">
        <v>16.6</v>
      </c>
      <c r="H46" s="1" t="str">
        <f aca="false">VLOOKUP($E46,[1]ETB!$B$66:$C$674,2,0)</f>
        <v>Contra Entry</v>
      </c>
    </row>
    <row r="47" customFormat="false" ht="15" hidden="false" customHeight="true" outlineLevel="0" collapsed="false">
      <c r="A47" s="7" t="n">
        <v>93</v>
      </c>
      <c r="B47" s="8" t="n">
        <v>44937</v>
      </c>
      <c r="C47" s="9" t="s">
        <v>13</v>
      </c>
      <c r="D47" s="10" t="s">
        <v>54</v>
      </c>
      <c r="E47" s="11" t="n">
        <v>235</v>
      </c>
      <c r="F47" s="12"/>
      <c r="G47" s="12" t="n">
        <v>33</v>
      </c>
      <c r="H47" s="1" t="str">
        <f aca="false">VLOOKUP($E47,[1]ETB!$B$66:$C$674,2,0)</f>
        <v>Contra Entry</v>
      </c>
    </row>
    <row r="48" customFormat="false" ht="15" hidden="false" customHeight="true" outlineLevel="0" collapsed="false">
      <c r="A48" s="7" t="n">
        <v>21</v>
      </c>
      <c r="B48" s="8" t="n">
        <v>45139</v>
      </c>
      <c r="C48" s="9" t="s">
        <v>30</v>
      </c>
      <c r="D48" s="10" t="s">
        <v>55</v>
      </c>
      <c r="E48" s="11" t="n">
        <v>235</v>
      </c>
      <c r="F48" s="12"/>
      <c r="G48" s="12" t="n">
        <v>289</v>
      </c>
      <c r="H48" s="1" t="str">
        <f aca="false">VLOOKUP($E48,[1]ETB!$B$66:$C$674,2,0)</f>
        <v>Contra Entry</v>
      </c>
    </row>
    <row r="49" customFormat="false" ht="15" hidden="false" customHeight="true" outlineLevel="0" collapsed="false">
      <c r="A49" s="7"/>
      <c r="B49" s="8"/>
      <c r="C49" s="9"/>
      <c r="D49" s="10"/>
      <c r="E49" s="17" t="s">
        <v>56</v>
      </c>
      <c r="F49" s="18" t="n">
        <f aca="false">SUBTOTAL(9,F32:F47)</f>
        <v>0</v>
      </c>
      <c r="G49" s="18" t="n">
        <f aca="false">SUBTOTAL(9,G32:G47)</f>
        <v>7932.56</v>
      </c>
    </row>
    <row r="50" customFormat="false" ht="15" hidden="false" customHeight="true" outlineLevel="0" collapsed="false">
      <c r="A50" s="7" t="n">
        <v>229</v>
      </c>
      <c r="B50" s="8" t="n">
        <v>45173</v>
      </c>
      <c r="C50" s="9" t="s">
        <v>13</v>
      </c>
      <c r="D50" s="10" t="s">
        <v>57</v>
      </c>
      <c r="E50" s="11" t="n">
        <v>261</v>
      </c>
      <c r="F50" s="12"/>
      <c r="G50" s="12" t="n">
        <v>37.73</v>
      </c>
      <c r="H50" s="1" t="str">
        <f aca="false">VLOOKUP($E50,[1]ETB!$B$66:$C$674,2,0)</f>
        <v>Refreshments</v>
      </c>
    </row>
    <row r="51" customFormat="false" ht="15" hidden="false" customHeight="true" outlineLevel="0" collapsed="false">
      <c r="A51" s="7"/>
      <c r="B51" s="8"/>
      <c r="C51" s="9"/>
      <c r="D51" s="10"/>
      <c r="E51" s="17" t="s">
        <v>58</v>
      </c>
      <c r="F51" s="18" t="n">
        <f aca="false">SUBTOTAL(9,F32:F49)</f>
        <v>0</v>
      </c>
      <c r="G51" s="18" t="n">
        <f aca="false">SUBTOTAL(9,G32:G49)</f>
        <v>8221.56</v>
      </c>
    </row>
    <row r="52" customFormat="false" ht="15" hidden="false" customHeight="true" outlineLevel="0" collapsed="false">
      <c r="A52" s="7" t="n">
        <v>267</v>
      </c>
      <c r="B52" s="8" t="n">
        <v>45030</v>
      </c>
      <c r="C52" s="9" t="s">
        <v>13</v>
      </c>
      <c r="D52" s="10" t="s">
        <v>59</v>
      </c>
      <c r="E52" s="11" t="n">
        <v>265</v>
      </c>
      <c r="F52" s="19"/>
      <c r="G52" s="12" t="n">
        <v>34.2</v>
      </c>
      <c r="H52" s="1" t="str">
        <f aca="false">VLOOKUP($E52,[1]ETB!$B$66:$C$674,2,0)</f>
        <v>Advertising</v>
      </c>
    </row>
    <row r="53" customFormat="false" ht="15" hidden="false" customHeight="true" outlineLevel="0" collapsed="false">
      <c r="A53" s="7"/>
      <c r="B53" s="8"/>
      <c r="C53" s="9"/>
      <c r="D53" s="10"/>
      <c r="E53" s="17" t="s">
        <v>60</v>
      </c>
      <c r="F53" s="18" t="e">
        <f aca="false">SUBTOTAL(9,#REF!)</f>
        <v>#REF!</v>
      </c>
      <c r="G53" s="18" t="e">
        <f aca="false">SUBTOTAL(9,#REF!)</f>
        <v>#REF!</v>
      </c>
    </row>
    <row r="54" customFormat="false" ht="15" hidden="false" customHeight="true" outlineLevel="0" collapsed="false">
      <c r="A54" s="7" t="n">
        <v>1</v>
      </c>
      <c r="B54" s="8" t="n">
        <v>44882</v>
      </c>
      <c r="C54" s="9" t="s">
        <v>13</v>
      </c>
      <c r="D54" s="10" t="s">
        <v>61</v>
      </c>
      <c r="E54" s="11" t="n">
        <v>378</v>
      </c>
      <c r="F54" s="12"/>
      <c r="G54" s="12" t="n">
        <v>8</v>
      </c>
      <c r="H54" s="1" t="str">
        <f aca="false">VLOOKUP($E54,[1]ETB!$B$66:$C$674,2,0)</f>
        <v>Bank charges</v>
      </c>
    </row>
    <row r="55" customFormat="false" ht="15" hidden="false" customHeight="true" outlineLevel="0" collapsed="false">
      <c r="A55" s="7"/>
      <c r="B55" s="8"/>
      <c r="C55" s="9"/>
      <c r="D55" s="10"/>
      <c r="E55" s="17" t="s">
        <v>62</v>
      </c>
      <c r="F55" s="18" t="n">
        <f aca="false">SUBTOTAL(9,F51:F53)</f>
        <v>0</v>
      </c>
      <c r="G55" s="18" t="n">
        <f aca="false">SUBTOTAL(9,G51:G53)</f>
        <v>34.2</v>
      </c>
    </row>
    <row r="56" customFormat="false" ht="15" hidden="false" customHeight="true" outlineLevel="0" collapsed="false">
      <c r="A56" s="7" t="n">
        <v>76</v>
      </c>
      <c r="B56" s="8" t="n">
        <v>45083</v>
      </c>
      <c r="C56" s="9" t="s">
        <v>6</v>
      </c>
      <c r="D56" s="10" t="s">
        <v>63</v>
      </c>
      <c r="E56" s="11" t="n">
        <v>586</v>
      </c>
      <c r="F56" s="12"/>
      <c r="G56" s="12" t="n">
        <v>4189</v>
      </c>
      <c r="H56" s="1" t="str">
        <f aca="false">VLOOKUP($E56,[1]ETB!$B$66:$C$674,2,0)</f>
        <v>Trade debtors</v>
      </c>
    </row>
    <row r="57" customFormat="false" ht="15" hidden="false" customHeight="true" outlineLevel="0" collapsed="false">
      <c r="A57" s="7" t="n">
        <v>236</v>
      </c>
      <c r="B57" s="8" t="n">
        <v>45027</v>
      </c>
      <c r="C57" s="9" t="s">
        <v>6</v>
      </c>
      <c r="D57" s="10" t="s">
        <v>64</v>
      </c>
      <c r="E57" s="11" t="n">
        <v>586</v>
      </c>
      <c r="F57" s="12"/>
      <c r="G57" s="12" t="n">
        <v>2000</v>
      </c>
      <c r="H57" s="1" t="str">
        <f aca="false">VLOOKUP($E57,[1]ETB!$B$66:$C$674,2,0)</f>
        <v>Trade debtors</v>
      </c>
    </row>
    <row r="58" customFormat="false" ht="15" hidden="false" customHeight="true" outlineLevel="0" collapsed="false">
      <c r="A58" s="7" t="n">
        <v>4</v>
      </c>
      <c r="B58" s="8" t="n">
        <v>45183</v>
      </c>
      <c r="C58" s="9" t="s">
        <v>6</v>
      </c>
      <c r="D58" s="20" t="s">
        <v>65</v>
      </c>
      <c r="E58" s="11" t="n">
        <v>586</v>
      </c>
      <c r="F58" s="12"/>
      <c r="G58" s="12" t="n">
        <v>1400</v>
      </c>
      <c r="H58" s="1" t="str">
        <f aca="false">VLOOKUP($E58,[1]ETB!$B$66:$C$674,2,0)</f>
        <v>Trade debtors</v>
      </c>
    </row>
    <row r="59" customFormat="false" ht="15" hidden="false" customHeight="true" outlineLevel="0" collapsed="false">
      <c r="A59" s="7" t="n">
        <v>38</v>
      </c>
      <c r="B59" s="8" t="n">
        <v>44965</v>
      </c>
      <c r="C59" s="9" t="s">
        <v>6</v>
      </c>
      <c r="D59" s="10" t="s">
        <v>66</v>
      </c>
      <c r="E59" s="11" t="n">
        <v>586</v>
      </c>
      <c r="F59" s="12"/>
      <c r="G59" s="12" t="n">
        <v>3489</v>
      </c>
      <c r="H59" s="1" t="str">
        <f aca="false">VLOOKUP($E59,[1]ETB!$B$66:$C$674,2,0)</f>
        <v>Trade debtors</v>
      </c>
    </row>
    <row r="60" customFormat="false" ht="15" hidden="false" customHeight="true" outlineLevel="0" collapsed="false">
      <c r="A60" s="7" t="n">
        <v>3</v>
      </c>
      <c r="B60" s="8" t="n">
        <v>44930</v>
      </c>
      <c r="C60" s="9" t="s">
        <v>6</v>
      </c>
      <c r="D60" s="10" t="s">
        <v>67</v>
      </c>
      <c r="E60" s="11" t="n">
        <v>586</v>
      </c>
      <c r="F60" s="12"/>
      <c r="G60" s="12" t="n">
        <v>250</v>
      </c>
      <c r="H60" s="1" t="str">
        <f aca="false">VLOOKUP($E60,[1]ETB!$B$66:$C$674,2,0)</f>
        <v>Trade debtors</v>
      </c>
    </row>
    <row r="61" customFormat="false" ht="15" hidden="false" customHeight="true" outlineLevel="0" collapsed="false">
      <c r="A61" s="7" t="n">
        <v>6</v>
      </c>
      <c r="B61" s="8" t="n">
        <v>44931</v>
      </c>
      <c r="C61" s="9" t="s">
        <v>6</v>
      </c>
      <c r="D61" s="10" t="s">
        <v>67</v>
      </c>
      <c r="E61" s="11" t="n">
        <v>586</v>
      </c>
      <c r="F61" s="12"/>
      <c r="G61" s="12" t="n">
        <v>1739</v>
      </c>
      <c r="H61" s="1" t="str">
        <f aca="false">VLOOKUP($E61,[1]ETB!$B$66:$C$674,2,0)</f>
        <v>Trade debtors</v>
      </c>
    </row>
    <row r="62" customFormat="false" ht="15" hidden="false" customHeight="true" outlineLevel="0" collapsed="false">
      <c r="A62" s="7" t="n">
        <v>253</v>
      </c>
      <c r="B62" s="8" t="n">
        <v>45096</v>
      </c>
      <c r="C62" s="9" t="s">
        <v>6</v>
      </c>
      <c r="D62" s="10" t="s">
        <v>68</v>
      </c>
      <c r="E62" s="11" t="n">
        <v>586</v>
      </c>
      <c r="F62" s="12"/>
      <c r="G62" s="12" t="n">
        <v>1400</v>
      </c>
      <c r="H62" s="1" t="str">
        <f aca="false">VLOOKUP($E62,[1]ETB!$B$66:$C$674,2,0)</f>
        <v>Trade debtors</v>
      </c>
    </row>
    <row r="63" customFormat="false" ht="15" hidden="false" customHeight="true" outlineLevel="0" collapsed="false">
      <c r="A63" s="7" t="n">
        <v>369</v>
      </c>
      <c r="B63" s="8" t="n">
        <v>45169</v>
      </c>
      <c r="C63" s="9" t="s">
        <v>6</v>
      </c>
      <c r="D63" s="10" t="s">
        <v>69</v>
      </c>
      <c r="E63" s="11" t="n">
        <v>586</v>
      </c>
      <c r="F63" s="12"/>
      <c r="G63" s="12" t="n">
        <v>289</v>
      </c>
      <c r="H63" s="1" t="str">
        <f aca="false">VLOOKUP($E63,[1]ETB!$B$66:$C$674,2,0)</f>
        <v>Trade debtors</v>
      </c>
    </row>
    <row r="64" customFormat="false" ht="15" hidden="false" customHeight="true" outlineLevel="0" collapsed="false">
      <c r="A64" s="7" t="n">
        <v>327</v>
      </c>
      <c r="B64" s="8" t="n">
        <v>45042</v>
      </c>
      <c r="C64" s="9" t="s">
        <v>6</v>
      </c>
      <c r="D64" s="10" t="s">
        <v>70</v>
      </c>
      <c r="E64" s="11" t="n">
        <v>586</v>
      </c>
      <c r="F64" s="12"/>
      <c r="G64" s="12" t="n">
        <v>250</v>
      </c>
      <c r="H64" s="1" t="str">
        <f aca="false">VLOOKUP($E64,[1]ETB!$B$66:$C$674,2,0)</f>
        <v>Trade debtors</v>
      </c>
    </row>
    <row r="65" customFormat="false" ht="15" hidden="false" customHeight="true" outlineLevel="0" collapsed="false">
      <c r="A65" s="7" t="n">
        <v>146</v>
      </c>
      <c r="B65" s="8" t="n">
        <v>45121</v>
      </c>
      <c r="C65" s="9" t="s">
        <v>6</v>
      </c>
      <c r="D65" s="10" t="s">
        <v>71</v>
      </c>
      <c r="E65" s="11" t="n">
        <v>586</v>
      </c>
      <c r="F65" s="12"/>
      <c r="G65" s="12" t="n">
        <v>289</v>
      </c>
      <c r="H65" s="1" t="str">
        <f aca="false">VLOOKUP($E65,[1]ETB!$B$66:$C$674,2,0)</f>
        <v>Trade debtors</v>
      </c>
    </row>
    <row r="66" customFormat="false" ht="15" hidden="false" customHeight="true" outlineLevel="0" collapsed="false">
      <c r="A66" s="7" t="n">
        <v>118</v>
      </c>
      <c r="B66" s="8" t="n">
        <v>44998</v>
      </c>
      <c r="C66" s="9" t="s">
        <v>6</v>
      </c>
      <c r="D66" s="10" t="s">
        <v>72</v>
      </c>
      <c r="E66" s="11" t="n">
        <v>586</v>
      </c>
      <c r="F66" s="12"/>
      <c r="G66" s="12" t="n">
        <v>1100</v>
      </c>
      <c r="H66" s="1" t="str">
        <f aca="false">VLOOKUP($E66,[1]ETB!$B$66:$C$674,2,0)</f>
        <v>Trade debtors</v>
      </c>
    </row>
    <row r="67" customFormat="false" ht="15" hidden="false" customHeight="true" outlineLevel="0" collapsed="false">
      <c r="A67" s="7" t="n">
        <v>119</v>
      </c>
      <c r="B67" s="8" t="n">
        <v>44998</v>
      </c>
      <c r="C67" s="9" t="s">
        <v>6</v>
      </c>
      <c r="D67" s="10" t="s">
        <v>72</v>
      </c>
      <c r="E67" s="11" t="n">
        <v>586</v>
      </c>
      <c r="F67" s="12"/>
      <c r="G67" s="12" t="n">
        <v>135</v>
      </c>
      <c r="H67" s="1" t="str">
        <f aca="false">VLOOKUP($E67,[1]ETB!$B$66:$C$674,2,0)</f>
        <v>Trade debtors</v>
      </c>
    </row>
    <row r="68" customFormat="false" ht="15" hidden="false" customHeight="true" outlineLevel="0" collapsed="false">
      <c r="A68" s="7" t="n">
        <v>295</v>
      </c>
      <c r="B68" s="8" t="n">
        <v>45202</v>
      </c>
      <c r="C68" s="9" t="s">
        <v>6</v>
      </c>
      <c r="D68" s="10" t="s">
        <v>73</v>
      </c>
      <c r="E68" s="11" t="n">
        <v>586</v>
      </c>
      <c r="F68" s="12"/>
      <c r="G68" s="12" t="n">
        <v>4900</v>
      </c>
      <c r="H68" s="1" t="str">
        <f aca="false">VLOOKUP($E68,[1]ETB!$B$66:$C$674,2,0)</f>
        <v>Trade debtors</v>
      </c>
    </row>
    <row r="69" customFormat="false" ht="15" hidden="false" customHeight="true" outlineLevel="0" collapsed="false">
      <c r="A69" s="7" t="n">
        <v>331</v>
      </c>
      <c r="B69" s="8" t="n">
        <v>44956</v>
      </c>
      <c r="C69" s="9" t="s">
        <v>6</v>
      </c>
      <c r="D69" s="10" t="s">
        <v>74</v>
      </c>
      <c r="E69" s="11" t="n">
        <v>586</v>
      </c>
      <c r="F69" s="12"/>
      <c r="G69" s="12" t="n">
        <v>3826.8</v>
      </c>
      <c r="H69" s="1" t="str">
        <f aca="false">VLOOKUP($E69,[1]ETB!$B$66:$C$674,2,0)</f>
        <v>Trade debtors</v>
      </c>
    </row>
    <row r="70" customFormat="false" ht="15" hidden="false" customHeight="true" outlineLevel="0" collapsed="false">
      <c r="A70" s="7" t="n">
        <v>143</v>
      </c>
      <c r="B70" s="8" t="n">
        <v>45021</v>
      </c>
      <c r="C70" s="9" t="s">
        <v>6</v>
      </c>
      <c r="D70" s="10" t="s">
        <v>75</v>
      </c>
      <c r="E70" s="11" t="n">
        <v>586</v>
      </c>
      <c r="F70" s="12"/>
      <c r="G70" s="12" t="n">
        <v>1500</v>
      </c>
      <c r="H70" s="1" t="str">
        <f aca="false">VLOOKUP($E70,[1]ETB!$B$66:$C$674,2,0)</f>
        <v>Trade debtors</v>
      </c>
    </row>
    <row r="71" customFormat="false" ht="15" hidden="false" customHeight="true" outlineLevel="0" collapsed="false">
      <c r="A71" s="7" t="n">
        <v>176</v>
      </c>
      <c r="B71" s="8" t="n">
        <v>44973</v>
      </c>
      <c r="C71" s="9" t="s">
        <v>6</v>
      </c>
      <c r="D71" s="10" t="s">
        <v>76</v>
      </c>
      <c r="E71" s="11" t="n">
        <v>586</v>
      </c>
      <c r="F71" s="12"/>
      <c r="G71" s="12" t="n">
        <v>589</v>
      </c>
      <c r="H71" s="1" t="str">
        <f aca="false">VLOOKUP($E71,[1]ETB!$B$66:$C$674,2,0)</f>
        <v>Trade debtors</v>
      </c>
    </row>
    <row r="72" customFormat="false" ht="15" hidden="false" customHeight="true" outlineLevel="0" collapsed="false">
      <c r="A72" s="7" t="n">
        <v>213</v>
      </c>
      <c r="B72" s="8" t="n">
        <v>44908</v>
      </c>
      <c r="C72" s="9" t="s">
        <v>6</v>
      </c>
      <c r="D72" s="10" t="s">
        <v>77</v>
      </c>
      <c r="E72" s="11" t="n">
        <v>586</v>
      </c>
      <c r="F72" s="12"/>
      <c r="G72" s="12" t="n">
        <v>250</v>
      </c>
      <c r="H72" s="1" t="str">
        <f aca="false">VLOOKUP($E72,[1]ETB!$B$66:$C$674,2,0)</f>
        <v>Trade debtors</v>
      </c>
    </row>
    <row r="73" customFormat="false" ht="15" hidden="false" customHeight="true" outlineLevel="0" collapsed="false">
      <c r="A73" s="7" t="n">
        <v>231</v>
      </c>
      <c r="B73" s="8" t="n">
        <v>44909</v>
      </c>
      <c r="C73" s="9" t="s">
        <v>6</v>
      </c>
      <c r="D73" s="10" t="s">
        <v>77</v>
      </c>
      <c r="E73" s="11" t="n">
        <v>586</v>
      </c>
      <c r="F73" s="12"/>
      <c r="G73" s="12" t="n">
        <v>3859</v>
      </c>
      <c r="H73" s="1" t="str">
        <f aca="false">VLOOKUP($E73,[1]ETB!$B$66:$C$674,2,0)</f>
        <v>Trade debtors</v>
      </c>
    </row>
    <row r="74" customFormat="false" ht="15" hidden="false" customHeight="true" outlineLevel="0" collapsed="false">
      <c r="A74" s="7" t="n">
        <v>371</v>
      </c>
      <c r="B74" s="8" t="n">
        <v>45260</v>
      </c>
      <c r="C74" s="9" t="s">
        <v>6</v>
      </c>
      <c r="D74" s="10" t="s">
        <v>78</v>
      </c>
      <c r="E74" s="11" t="n">
        <v>586</v>
      </c>
      <c r="F74" s="12"/>
      <c r="G74" s="12" t="n">
        <v>300</v>
      </c>
      <c r="H74" s="1" t="str">
        <f aca="false">VLOOKUP($E74,[1]ETB!$B$66:$C$674,2,0)</f>
        <v>Trade debtors</v>
      </c>
    </row>
    <row r="75" customFormat="false" ht="15" hidden="false" customHeight="true" outlineLevel="0" collapsed="false">
      <c r="A75" s="7" t="n">
        <v>31</v>
      </c>
      <c r="B75" s="8" t="n">
        <v>45180</v>
      </c>
      <c r="C75" s="9" t="s">
        <v>30</v>
      </c>
      <c r="D75" s="10" t="s">
        <v>79</v>
      </c>
      <c r="E75" s="11" t="n">
        <v>586</v>
      </c>
      <c r="F75" s="12"/>
      <c r="G75" s="12" t="n">
        <v>989</v>
      </c>
      <c r="H75" s="1" t="str">
        <f aca="false">VLOOKUP($E75,[1]ETB!$B$66:$C$674,2,0)</f>
        <v>Trade debtors</v>
      </c>
    </row>
    <row r="76" customFormat="false" ht="15" hidden="false" customHeight="true" outlineLevel="0" collapsed="false">
      <c r="A76" s="7" t="n">
        <v>32</v>
      </c>
      <c r="B76" s="8" t="n">
        <v>45110</v>
      </c>
      <c r="C76" s="9" t="s">
        <v>6</v>
      </c>
      <c r="D76" s="10" t="s">
        <v>80</v>
      </c>
      <c r="E76" s="11" t="n">
        <v>586</v>
      </c>
      <c r="F76" s="12"/>
      <c r="G76" s="12" t="n">
        <v>1255</v>
      </c>
      <c r="H76" s="1" t="str">
        <f aca="false">VLOOKUP($E76,[1]ETB!$B$66:$C$674,2,0)</f>
        <v>Trade debtors</v>
      </c>
    </row>
    <row r="77" customFormat="false" ht="15" hidden="false" customHeight="true" outlineLevel="0" collapsed="false">
      <c r="A77" s="7" t="n">
        <v>33</v>
      </c>
      <c r="B77" s="8" t="n">
        <v>45215</v>
      </c>
      <c r="C77" s="9" t="s">
        <v>30</v>
      </c>
      <c r="D77" s="10" t="s">
        <v>81</v>
      </c>
      <c r="E77" s="11" t="n">
        <v>586</v>
      </c>
      <c r="F77" s="12"/>
      <c r="G77" s="12" t="n">
        <v>2489</v>
      </c>
      <c r="H77" s="1" t="str">
        <f aca="false">VLOOKUP($E77,[1]ETB!$B$66:$C$674,2,0)</f>
        <v>Trade debtors</v>
      </c>
    </row>
    <row r="78" customFormat="false" ht="15" hidden="false" customHeight="true" outlineLevel="0" collapsed="false">
      <c r="A78" s="7" t="n">
        <v>34</v>
      </c>
      <c r="B78" s="8" t="n">
        <v>45215</v>
      </c>
      <c r="C78" s="9" t="s">
        <v>30</v>
      </c>
      <c r="D78" s="10" t="s">
        <v>81</v>
      </c>
      <c r="E78" s="11" t="n">
        <v>586</v>
      </c>
      <c r="F78" s="12"/>
      <c r="G78" s="12" t="n">
        <v>2000</v>
      </c>
      <c r="H78" s="1" t="str">
        <f aca="false">VLOOKUP($E78,[1]ETB!$B$66:$C$674,2,0)</f>
        <v>Trade debtors</v>
      </c>
    </row>
    <row r="79" customFormat="false" ht="15" hidden="false" customHeight="true" outlineLevel="0" collapsed="false">
      <c r="A79" s="7" t="n">
        <v>196</v>
      </c>
      <c r="B79" s="8" t="n">
        <v>44949</v>
      </c>
      <c r="C79" s="9" t="s">
        <v>6</v>
      </c>
      <c r="D79" s="10" t="s">
        <v>82</v>
      </c>
      <c r="E79" s="11" t="n">
        <v>586</v>
      </c>
      <c r="F79" s="12"/>
      <c r="G79" s="12" t="n">
        <v>2490</v>
      </c>
      <c r="H79" s="1" t="str">
        <f aca="false">VLOOKUP($E79,[1]ETB!$B$66:$C$674,2,0)</f>
        <v>Trade debtors</v>
      </c>
    </row>
    <row r="80" customFormat="false" ht="15" hidden="false" customHeight="true" outlineLevel="0" collapsed="false">
      <c r="A80" s="7" t="n">
        <v>36</v>
      </c>
      <c r="B80" s="8" t="n">
        <v>45007</v>
      </c>
      <c r="C80" s="9" t="s">
        <v>6</v>
      </c>
      <c r="D80" s="10" t="s">
        <v>83</v>
      </c>
      <c r="E80" s="11" t="n">
        <v>586</v>
      </c>
      <c r="F80" s="12"/>
      <c r="G80" s="12" t="n">
        <v>1650</v>
      </c>
      <c r="H80" s="1" t="str">
        <f aca="false">VLOOKUP($E80,[1]ETB!$B$66:$C$674,2,0)</f>
        <v>Trade debtors</v>
      </c>
    </row>
    <row r="81" customFormat="false" ht="15" hidden="false" customHeight="true" outlineLevel="0" collapsed="false">
      <c r="A81" s="7" t="n">
        <v>37</v>
      </c>
      <c r="B81" s="8" t="n">
        <v>44998</v>
      </c>
      <c r="C81" s="9" t="s">
        <v>6</v>
      </c>
      <c r="D81" s="10" t="s">
        <v>84</v>
      </c>
      <c r="E81" s="11" t="n">
        <v>586</v>
      </c>
      <c r="F81" s="12"/>
      <c r="G81" s="12" t="n">
        <v>1350</v>
      </c>
      <c r="H81" s="1" t="str">
        <f aca="false">VLOOKUP($E81,[1]ETB!$B$66:$C$674,2,0)</f>
        <v>Trade debtors</v>
      </c>
    </row>
    <row r="82" customFormat="false" ht="15" hidden="false" customHeight="true" outlineLevel="0" collapsed="false">
      <c r="A82" s="7" t="n">
        <v>39</v>
      </c>
      <c r="B82" s="8" t="n">
        <v>44970</v>
      </c>
      <c r="C82" s="9" t="s">
        <v>30</v>
      </c>
      <c r="D82" s="10" t="s">
        <v>85</v>
      </c>
      <c r="E82" s="11" t="n">
        <v>586</v>
      </c>
      <c r="F82" s="12"/>
      <c r="G82" s="12" t="n">
        <v>2000</v>
      </c>
      <c r="H82" s="1" t="str">
        <f aca="false">VLOOKUP($E82,[1]ETB!$B$66:$C$674,2,0)</f>
        <v>Trade debtors</v>
      </c>
    </row>
    <row r="83" customFormat="false" ht="15" hidden="false" customHeight="true" outlineLevel="0" collapsed="false">
      <c r="A83" s="7" t="n">
        <v>40</v>
      </c>
      <c r="B83" s="8" t="n">
        <v>44970</v>
      </c>
      <c r="C83" s="9" t="s">
        <v>30</v>
      </c>
      <c r="D83" s="10" t="s">
        <v>85</v>
      </c>
      <c r="E83" s="11" t="n">
        <v>586</v>
      </c>
      <c r="F83" s="12"/>
      <c r="G83" s="12" t="n">
        <v>1000</v>
      </c>
      <c r="H83" s="1" t="str">
        <f aca="false">VLOOKUP($E83,[1]ETB!$B$66:$C$674,2,0)</f>
        <v>Trade debtors</v>
      </c>
    </row>
    <row r="84" customFormat="false" ht="15" hidden="false" customHeight="true" outlineLevel="0" collapsed="false">
      <c r="A84" s="7" t="n">
        <v>178</v>
      </c>
      <c r="B84" s="8" t="n">
        <v>44977</v>
      </c>
      <c r="C84" s="9" t="s">
        <v>6</v>
      </c>
      <c r="D84" s="10" t="s">
        <v>86</v>
      </c>
      <c r="E84" s="11" t="n">
        <v>586</v>
      </c>
      <c r="F84" s="12"/>
      <c r="G84" s="12" t="n">
        <v>4600</v>
      </c>
      <c r="H84" s="1" t="str">
        <f aca="false">VLOOKUP($E84,[1]ETB!$B$66:$C$674,2,0)</f>
        <v>Trade debtors</v>
      </c>
    </row>
    <row r="85" customFormat="false" ht="15" hidden="false" customHeight="true" outlineLevel="0" collapsed="false">
      <c r="A85" s="7" t="n">
        <v>41</v>
      </c>
      <c r="B85" s="8" t="n">
        <v>45173</v>
      </c>
      <c r="C85" s="9" t="s">
        <v>6</v>
      </c>
      <c r="D85" s="10" t="s">
        <v>87</v>
      </c>
      <c r="E85" s="11" t="n">
        <v>586</v>
      </c>
      <c r="F85" s="12"/>
      <c r="G85" s="12" t="n">
        <v>3100</v>
      </c>
      <c r="H85" s="1" t="str">
        <f aca="false">VLOOKUP($E85,[1]ETB!$B$66:$C$674,2,0)</f>
        <v>Trade debtors</v>
      </c>
    </row>
    <row r="86" customFormat="false" ht="15" hidden="false" customHeight="true" outlineLevel="0" collapsed="false">
      <c r="A86" s="7" t="n">
        <v>43</v>
      </c>
      <c r="B86" s="8" t="n">
        <v>45177</v>
      </c>
      <c r="C86" s="9" t="s">
        <v>6</v>
      </c>
      <c r="D86" s="10" t="s">
        <v>88</v>
      </c>
      <c r="E86" s="11" t="n">
        <v>586</v>
      </c>
      <c r="F86" s="12"/>
      <c r="G86" s="12" t="n">
        <v>3189</v>
      </c>
      <c r="H86" s="1" t="str">
        <f aca="false">VLOOKUP($E86,[1]ETB!$B$66:$C$674,2,0)</f>
        <v>Trade debtors</v>
      </c>
    </row>
    <row r="87" customFormat="false" ht="15" hidden="false" customHeight="true" outlineLevel="0" collapsed="false">
      <c r="A87" s="7" t="n">
        <v>44</v>
      </c>
      <c r="B87" s="8" t="n">
        <v>45244</v>
      </c>
      <c r="C87" s="9" t="s">
        <v>6</v>
      </c>
      <c r="D87" s="10" t="s">
        <v>89</v>
      </c>
      <c r="E87" s="11" t="n">
        <v>586</v>
      </c>
      <c r="F87" s="19"/>
      <c r="G87" s="12" t="n">
        <v>489</v>
      </c>
      <c r="H87" s="1" t="str">
        <f aca="false">VLOOKUP($E87,[1]ETB!$B$66:$C$674,2,0)</f>
        <v>Trade debtors</v>
      </c>
    </row>
    <row r="88" customFormat="false" ht="15" hidden="false" customHeight="true" outlineLevel="0" collapsed="false">
      <c r="A88" s="7" t="n">
        <v>45</v>
      </c>
      <c r="B88" s="8" t="n">
        <v>45246</v>
      </c>
      <c r="C88" s="9" t="s">
        <v>6</v>
      </c>
      <c r="D88" s="10" t="s">
        <v>89</v>
      </c>
      <c r="E88" s="11" t="n">
        <v>586</v>
      </c>
      <c r="F88" s="12"/>
      <c r="G88" s="12" t="n">
        <v>4200</v>
      </c>
      <c r="H88" s="1" t="str">
        <f aca="false">VLOOKUP($E88,[1]ETB!$B$66:$C$674,2,0)</f>
        <v>Trade debtors</v>
      </c>
    </row>
    <row r="89" customFormat="false" ht="15" hidden="false" customHeight="true" outlineLevel="0" collapsed="false">
      <c r="A89" s="7" t="n">
        <v>224</v>
      </c>
      <c r="B89" s="8" t="n">
        <v>45027</v>
      </c>
      <c r="C89" s="9" t="s">
        <v>6</v>
      </c>
      <c r="D89" s="10" t="s">
        <v>90</v>
      </c>
      <c r="E89" s="11" t="n">
        <v>586</v>
      </c>
      <c r="F89" s="12"/>
      <c r="G89" s="12" t="n">
        <v>2000</v>
      </c>
      <c r="H89" s="1" t="str">
        <f aca="false">VLOOKUP($E89,[1]ETB!$B$66:$C$674,2,0)</f>
        <v>Trade debtors</v>
      </c>
    </row>
    <row r="90" customFormat="false" ht="15" hidden="false" customHeight="true" outlineLevel="0" collapsed="false">
      <c r="A90" s="7" t="n">
        <v>214</v>
      </c>
      <c r="B90" s="8" t="n">
        <v>44981</v>
      </c>
      <c r="C90" s="9" t="s">
        <v>6</v>
      </c>
      <c r="D90" s="10" t="s">
        <v>91</v>
      </c>
      <c r="E90" s="11" t="n">
        <v>586</v>
      </c>
      <c r="F90" s="12"/>
      <c r="G90" s="12" t="n">
        <v>2100</v>
      </c>
      <c r="H90" s="1" t="str">
        <f aca="false">VLOOKUP($E90,[1]ETB!$B$66:$C$674,2,0)</f>
        <v>Trade debtors</v>
      </c>
    </row>
    <row r="91" customFormat="false" ht="15" hidden="false" customHeight="true" outlineLevel="0" collapsed="false">
      <c r="A91" s="7" t="n">
        <v>265</v>
      </c>
      <c r="B91" s="8" t="n">
        <v>45131</v>
      </c>
      <c r="C91" s="9" t="s">
        <v>6</v>
      </c>
      <c r="D91" s="10" t="s">
        <v>92</v>
      </c>
      <c r="E91" s="11" t="n">
        <v>586</v>
      </c>
      <c r="F91" s="12"/>
      <c r="G91" s="12" t="n">
        <v>1850</v>
      </c>
      <c r="H91" s="1" t="str">
        <f aca="false">VLOOKUP($E91,[1]ETB!$B$66:$C$674,2,0)</f>
        <v>Trade debtors</v>
      </c>
    </row>
    <row r="92" customFormat="false" ht="15" hidden="false" customHeight="true" outlineLevel="0" collapsed="false">
      <c r="A92" s="7" t="n">
        <v>212</v>
      </c>
      <c r="B92" s="8" t="n">
        <v>44902</v>
      </c>
      <c r="C92" s="9" t="s">
        <v>6</v>
      </c>
      <c r="D92" s="10" t="s">
        <v>93</v>
      </c>
      <c r="E92" s="11" t="n">
        <v>586</v>
      </c>
      <c r="F92" s="12"/>
      <c r="G92" s="12" t="n">
        <v>3700</v>
      </c>
      <c r="H92" s="1" t="str">
        <f aca="false">VLOOKUP($E92,[1]ETB!$B$66:$C$674,2,0)</f>
        <v>Trade debtors</v>
      </c>
    </row>
    <row r="93" customFormat="false" ht="15" hidden="false" customHeight="true" outlineLevel="0" collapsed="false">
      <c r="A93" s="7" t="n">
        <v>235</v>
      </c>
      <c r="B93" s="8" t="n">
        <v>45159</v>
      </c>
      <c r="C93" s="9" t="s">
        <v>6</v>
      </c>
      <c r="D93" s="10" t="s">
        <v>94</v>
      </c>
      <c r="E93" s="11" t="n">
        <v>586</v>
      </c>
      <c r="F93" s="12"/>
      <c r="G93" s="12" t="n">
        <v>989</v>
      </c>
      <c r="H93" s="1" t="str">
        <f aca="false">VLOOKUP($E93,[1]ETB!$B$66:$C$674,2,0)</f>
        <v>Trade debtors</v>
      </c>
    </row>
    <row r="94" customFormat="false" ht="15" hidden="false" customHeight="true" outlineLevel="0" collapsed="false">
      <c r="A94" s="7" t="n">
        <v>51</v>
      </c>
      <c r="B94" s="8" t="n">
        <v>45125</v>
      </c>
      <c r="C94" s="9" t="s">
        <v>6</v>
      </c>
      <c r="D94" s="10" t="s">
        <v>95</v>
      </c>
      <c r="E94" s="11" t="n">
        <v>586</v>
      </c>
      <c r="F94" s="12"/>
      <c r="G94" s="12" t="n">
        <v>2111</v>
      </c>
      <c r="H94" s="1" t="str">
        <f aca="false">VLOOKUP($E94,[1]ETB!$B$66:$C$674,2,0)</f>
        <v>Trade debtors</v>
      </c>
    </row>
    <row r="95" customFormat="false" ht="15" hidden="false" customHeight="true" outlineLevel="0" collapsed="false">
      <c r="A95" s="7" t="n">
        <v>147</v>
      </c>
      <c r="B95" s="8" t="n">
        <v>45124</v>
      </c>
      <c r="C95" s="9" t="s">
        <v>6</v>
      </c>
      <c r="D95" s="10" t="s">
        <v>96</v>
      </c>
      <c r="E95" s="11" t="n">
        <v>586</v>
      </c>
      <c r="F95" s="12"/>
      <c r="G95" s="12" t="n">
        <v>289</v>
      </c>
      <c r="H95" s="1" t="str">
        <f aca="false">VLOOKUP($E95,[1]ETB!$B$66:$C$674,2,0)</f>
        <v>Trade debtors</v>
      </c>
    </row>
    <row r="96" customFormat="false" ht="15" hidden="false" customHeight="true" outlineLevel="0" collapsed="false">
      <c r="A96" s="7" t="n">
        <v>53</v>
      </c>
      <c r="B96" s="8" t="n">
        <v>45127</v>
      </c>
      <c r="C96" s="9" t="s">
        <v>6</v>
      </c>
      <c r="D96" s="10" t="s">
        <v>96</v>
      </c>
      <c r="E96" s="11" t="n">
        <v>586</v>
      </c>
      <c r="F96" s="12"/>
      <c r="G96" s="12" t="n">
        <v>100</v>
      </c>
      <c r="H96" s="1" t="str">
        <f aca="false">VLOOKUP($E96,[1]ETB!$B$66:$C$674,2,0)</f>
        <v>Trade debtors</v>
      </c>
    </row>
    <row r="97" customFormat="false" ht="15" hidden="false" customHeight="true" outlineLevel="0" collapsed="false">
      <c r="A97" s="7" t="n">
        <v>54</v>
      </c>
      <c r="B97" s="8" t="n">
        <v>45127</v>
      </c>
      <c r="C97" s="9" t="s">
        <v>6</v>
      </c>
      <c r="D97" s="10" t="s">
        <v>96</v>
      </c>
      <c r="E97" s="11" t="n">
        <v>586</v>
      </c>
      <c r="F97" s="12"/>
      <c r="G97" s="12" t="n">
        <v>2000</v>
      </c>
      <c r="H97" s="1" t="str">
        <f aca="false">VLOOKUP($E97,[1]ETB!$B$66:$C$674,2,0)</f>
        <v>Trade debtors</v>
      </c>
    </row>
    <row r="98" customFormat="false" ht="15" hidden="false" customHeight="true" outlineLevel="0" collapsed="false">
      <c r="A98" s="7" t="n">
        <v>75</v>
      </c>
      <c r="B98" s="8" t="n">
        <v>44998</v>
      </c>
      <c r="C98" s="9" t="s">
        <v>30</v>
      </c>
      <c r="D98" s="10" t="s">
        <v>97</v>
      </c>
      <c r="E98" s="11" t="n">
        <v>586</v>
      </c>
      <c r="F98" s="12"/>
      <c r="G98" s="12" t="n">
        <v>1989</v>
      </c>
      <c r="H98" s="1" t="str">
        <f aca="false">VLOOKUP($E98,[1]ETB!$B$66:$C$674,2,0)</f>
        <v>Trade debtors</v>
      </c>
    </row>
    <row r="99" customFormat="false" ht="15" hidden="false" customHeight="true" outlineLevel="0" collapsed="false">
      <c r="A99" s="7" t="n">
        <v>50</v>
      </c>
      <c r="B99" s="8" t="n">
        <v>45139</v>
      </c>
      <c r="C99" s="9" t="s">
        <v>6</v>
      </c>
      <c r="D99" s="10" t="s">
        <v>98</v>
      </c>
      <c r="E99" s="11" t="n">
        <v>586</v>
      </c>
      <c r="F99" s="12"/>
      <c r="G99" s="12" t="n">
        <v>289</v>
      </c>
      <c r="H99" s="1" t="str">
        <f aca="false">VLOOKUP($E99,[1]ETB!$B$66:$C$674,2,0)</f>
        <v>Trade debtors</v>
      </c>
    </row>
    <row r="100" customFormat="false" ht="15" hidden="false" customHeight="true" outlineLevel="0" collapsed="false">
      <c r="A100" s="7" t="n">
        <v>99</v>
      </c>
      <c r="B100" s="8" t="n">
        <v>45145</v>
      </c>
      <c r="C100" s="9" t="s">
        <v>6</v>
      </c>
      <c r="D100" s="10" t="s">
        <v>98</v>
      </c>
      <c r="E100" s="11" t="n">
        <v>586</v>
      </c>
      <c r="F100" s="12"/>
      <c r="G100" s="12" t="n">
        <v>3700</v>
      </c>
      <c r="H100" s="1" t="str">
        <f aca="false">VLOOKUP($E100,[1]ETB!$B$66:$C$674,2,0)</f>
        <v>Trade debtors</v>
      </c>
    </row>
    <row r="101" customFormat="false" ht="15" hidden="false" customHeight="true" outlineLevel="0" collapsed="false">
      <c r="A101" s="7" t="n">
        <v>232</v>
      </c>
      <c r="B101" s="8" t="n">
        <v>45091</v>
      </c>
      <c r="C101" s="9" t="s">
        <v>30</v>
      </c>
      <c r="D101" s="10" t="s">
        <v>99</v>
      </c>
      <c r="E101" s="11" t="n">
        <v>586</v>
      </c>
      <c r="F101" s="12"/>
      <c r="G101" s="12" t="n">
        <v>2000</v>
      </c>
      <c r="H101" s="1" t="str">
        <f aca="false">VLOOKUP($E101,[1]ETB!$B$66:$C$674,2,0)</f>
        <v>Trade debtors</v>
      </c>
    </row>
    <row r="102" customFormat="false" ht="15" hidden="false" customHeight="true" outlineLevel="0" collapsed="false">
      <c r="A102" s="7" t="n">
        <v>237</v>
      </c>
      <c r="B102" s="8" t="n">
        <v>45027</v>
      </c>
      <c r="C102" s="9" t="s">
        <v>30</v>
      </c>
      <c r="D102" s="10" t="s">
        <v>100</v>
      </c>
      <c r="E102" s="11" t="n">
        <v>586</v>
      </c>
      <c r="F102" s="12"/>
      <c r="G102" s="12" t="n">
        <v>2000</v>
      </c>
      <c r="H102" s="1" t="str">
        <f aca="false">VLOOKUP($E102,[1]ETB!$B$66:$C$674,2,0)</f>
        <v>Trade debtors</v>
      </c>
    </row>
    <row r="103" customFormat="false" ht="15" hidden="false" customHeight="true" outlineLevel="0" collapsed="false">
      <c r="A103" s="7" t="n">
        <v>316</v>
      </c>
      <c r="B103" s="8" t="n">
        <v>45202</v>
      </c>
      <c r="C103" s="9" t="s">
        <v>6</v>
      </c>
      <c r="D103" s="10" t="s">
        <v>101</v>
      </c>
      <c r="E103" s="11" t="n">
        <v>586</v>
      </c>
      <c r="F103" s="12"/>
      <c r="G103" s="12" t="n">
        <v>289</v>
      </c>
      <c r="H103" s="1" t="str">
        <f aca="false">VLOOKUP($E103,[1]ETB!$B$66:$C$674,2,0)</f>
        <v>Trade debtors</v>
      </c>
    </row>
    <row r="104" customFormat="false" ht="15" hidden="false" customHeight="true" outlineLevel="0" collapsed="false">
      <c r="A104" s="7" t="n">
        <v>62</v>
      </c>
      <c r="B104" s="8" t="n">
        <v>45208</v>
      </c>
      <c r="C104" s="9" t="s">
        <v>6</v>
      </c>
      <c r="D104" s="10" t="s">
        <v>101</v>
      </c>
      <c r="E104" s="11" t="n">
        <v>586</v>
      </c>
      <c r="F104" s="12"/>
      <c r="G104" s="12" t="n">
        <v>1400</v>
      </c>
      <c r="H104" s="1" t="str">
        <f aca="false">VLOOKUP($E104,[1]ETB!$B$66:$C$674,2,0)</f>
        <v>Trade debtors</v>
      </c>
    </row>
    <row r="105" customFormat="false" ht="15" hidden="false" customHeight="true" outlineLevel="0" collapsed="false">
      <c r="A105" s="7" t="n">
        <v>63</v>
      </c>
      <c r="B105" s="8" t="n">
        <v>44937</v>
      </c>
      <c r="C105" s="9" t="s">
        <v>6</v>
      </c>
      <c r="D105" s="10" t="s">
        <v>102</v>
      </c>
      <c r="E105" s="11" t="n">
        <v>586</v>
      </c>
      <c r="F105" s="12"/>
      <c r="G105" s="12" t="n">
        <v>150</v>
      </c>
      <c r="H105" s="1" t="str">
        <f aca="false">VLOOKUP($E105,[1]ETB!$B$66:$C$674,2,0)</f>
        <v>Trade debtors</v>
      </c>
    </row>
    <row r="106" customFormat="false" ht="15" hidden="false" customHeight="true" outlineLevel="0" collapsed="false">
      <c r="A106" s="7" t="n">
        <v>96</v>
      </c>
      <c r="B106" s="8" t="n">
        <v>44942</v>
      </c>
      <c r="C106" s="9" t="s">
        <v>6</v>
      </c>
      <c r="D106" s="10" t="s">
        <v>102</v>
      </c>
      <c r="E106" s="11" t="n">
        <v>586</v>
      </c>
      <c r="F106" s="12"/>
      <c r="G106" s="12" t="n">
        <v>4800</v>
      </c>
      <c r="H106" s="1" t="str">
        <f aca="false">VLOOKUP($E106,[1]ETB!$B$66:$C$674,2,0)</f>
        <v>Trade debtors</v>
      </c>
    </row>
    <row r="107" customFormat="false" ht="15" hidden="false" customHeight="true" outlineLevel="0" collapsed="false">
      <c r="A107" s="7" t="n">
        <v>342</v>
      </c>
      <c r="B107" s="8" t="n">
        <v>45068</v>
      </c>
      <c r="C107" s="9" t="s">
        <v>6</v>
      </c>
      <c r="D107" s="10" t="s">
        <v>103</v>
      </c>
      <c r="E107" s="11" t="n">
        <v>586</v>
      </c>
      <c r="F107" s="12"/>
      <c r="G107" s="12" t="n">
        <v>2800</v>
      </c>
      <c r="H107" s="1" t="str">
        <f aca="false">VLOOKUP($E107,[1]ETB!$B$66:$C$674,2,0)</f>
        <v>Trade debtors</v>
      </c>
    </row>
    <row r="108" customFormat="false" ht="15" hidden="false" customHeight="true" outlineLevel="0" collapsed="false">
      <c r="A108" s="7" t="n">
        <v>194</v>
      </c>
      <c r="B108" s="8" t="n">
        <v>45022</v>
      </c>
      <c r="C108" s="9" t="s">
        <v>6</v>
      </c>
      <c r="D108" s="10" t="s">
        <v>104</v>
      </c>
      <c r="E108" s="11" t="n">
        <v>586</v>
      </c>
      <c r="F108" s="12"/>
      <c r="G108" s="12" t="n">
        <v>2464</v>
      </c>
      <c r="H108" s="1" t="str">
        <f aca="false">VLOOKUP($E108,[1]ETB!$B$66:$C$674,2,0)</f>
        <v>Trade debtors</v>
      </c>
    </row>
    <row r="109" customFormat="false" ht="15" hidden="false" customHeight="true" outlineLevel="0" collapsed="false">
      <c r="A109" s="7" t="n">
        <v>67</v>
      </c>
      <c r="B109" s="8" t="n">
        <v>44970</v>
      </c>
      <c r="C109" s="9" t="s">
        <v>6</v>
      </c>
      <c r="D109" s="10" t="s">
        <v>105</v>
      </c>
      <c r="E109" s="11" t="n">
        <v>586</v>
      </c>
      <c r="F109" s="12"/>
      <c r="G109" s="12" t="n">
        <v>350</v>
      </c>
      <c r="H109" s="1" t="str">
        <f aca="false">VLOOKUP($E109,[1]ETB!$B$66:$C$674,2,0)</f>
        <v>Trade debtors</v>
      </c>
    </row>
    <row r="110" customFormat="false" ht="15" hidden="false" customHeight="true" outlineLevel="0" collapsed="false">
      <c r="A110" s="7" t="n">
        <v>68</v>
      </c>
      <c r="B110" s="8" t="n">
        <v>44970</v>
      </c>
      <c r="C110" s="9" t="s">
        <v>6</v>
      </c>
      <c r="D110" s="10" t="s">
        <v>105</v>
      </c>
      <c r="E110" s="11" t="n">
        <v>586</v>
      </c>
      <c r="F110" s="12"/>
      <c r="G110" s="12" t="n">
        <v>1750</v>
      </c>
      <c r="H110" s="1" t="str">
        <f aca="false">VLOOKUP($E110,[1]ETB!$B$66:$C$674,2,0)</f>
        <v>Trade debtors</v>
      </c>
    </row>
    <row r="111" customFormat="false" ht="15" hidden="false" customHeight="true" outlineLevel="0" collapsed="false">
      <c r="A111" s="7" t="n">
        <v>160</v>
      </c>
      <c r="B111" s="8" t="n">
        <v>44973</v>
      </c>
      <c r="C111" s="9" t="s">
        <v>6</v>
      </c>
      <c r="D111" s="10" t="s">
        <v>106</v>
      </c>
      <c r="E111" s="11" t="n">
        <v>586</v>
      </c>
      <c r="F111" s="12"/>
      <c r="G111" s="12" t="n">
        <v>1789</v>
      </c>
      <c r="H111" s="1" t="str">
        <f aca="false">VLOOKUP($E111,[1]ETB!$B$66:$C$674,2,0)</f>
        <v>Trade debtors</v>
      </c>
    </row>
    <row r="112" customFormat="false" ht="15" hidden="false" customHeight="true" outlineLevel="0" collapsed="false">
      <c r="A112" s="7" t="n">
        <v>271</v>
      </c>
      <c r="B112" s="8" t="n">
        <v>45163</v>
      </c>
      <c r="C112" s="9" t="s">
        <v>6</v>
      </c>
      <c r="D112" s="10" t="s">
        <v>107</v>
      </c>
      <c r="E112" s="11" t="n">
        <v>586</v>
      </c>
      <c r="F112" s="12"/>
      <c r="G112" s="12" t="n">
        <v>789</v>
      </c>
      <c r="H112" s="1" t="str">
        <f aca="false">VLOOKUP($E112,[1]ETB!$B$66:$C$674,2,0)</f>
        <v>Trade debtors</v>
      </c>
    </row>
    <row r="113" customFormat="false" ht="15" hidden="false" customHeight="true" outlineLevel="0" collapsed="false">
      <c r="A113" s="7" t="n">
        <v>269</v>
      </c>
      <c r="B113" s="8" t="n">
        <v>45161</v>
      </c>
      <c r="C113" s="9" t="s">
        <v>6</v>
      </c>
      <c r="D113" s="10" t="s">
        <v>108</v>
      </c>
      <c r="E113" s="11" t="n">
        <v>586</v>
      </c>
      <c r="F113" s="12"/>
      <c r="G113" s="12" t="n">
        <v>500</v>
      </c>
      <c r="H113" s="1" t="str">
        <f aca="false">VLOOKUP($E113,[1]ETB!$B$66:$C$674,2,0)</f>
        <v>Trade debtors</v>
      </c>
    </row>
    <row r="114" customFormat="false" ht="15" hidden="false" customHeight="true" outlineLevel="0" collapsed="false">
      <c r="A114" s="7" t="n">
        <v>97</v>
      </c>
      <c r="B114" s="8" t="n">
        <v>44944</v>
      </c>
      <c r="C114" s="9" t="s">
        <v>6</v>
      </c>
      <c r="D114" s="10" t="s">
        <v>109</v>
      </c>
      <c r="E114" s="11" t="n">
        <v>586</v>
      </c>
      <c r="F114" s="19"/>
      <c r="G114" s="12" t="n">
        <v>250</v>
      </c>
      <c r="H114" s="1" t="str">
        <f aca="false">VLOOKUP($E114,[1]ETB!$B$66:$C$674,2,0)</f>
        <v>Trade debtors</v>
      </c>
    </row>
    <row r="115" customFormat="false" ht="15" hidden="false" customHeight="true" outlineLevel="0" collapsed="false">
      <c r="A115" s="7" t="n">
        <v>153</v>
      </c>
      <c r="B115" s="8" t="n">
        <v>44945</v>
      </c>
      <c r="C115" s="9" t="s">
        <v>6</v>
      </c>
      <c r="D115" s="10" t="s">
        <v>109</v>
      </c>
      <c r="E115" s="11" t="n">
        <v>586</v>
      </c>
      <c r="F115" s="12"/>
      <c r="G115" s="12" t="n">
        <v>1350</v>
      </c>
      <c r="H115" s="1" t="str">
        <f aca="false">VLOOKUP($E115,[1]ETB!$B$66:$C$674,2,0)</f>
        <v>Trade debtors</v>
      </c>
    </row>
    <row r="116" customFormat="false" ht="15" hidden="false" customHeight="true" outlineLevel="0" collapsed="false">
      <c r="A116" s="7" t="n">
        <v>19</v>
      </c>
      <c r="B116" s="8" t="n">
        <v>44986</v>
      </c>
      <c r="C116" s="9" t="s">
        <v>6</v>
      </c>
      <c r="D116" s="10" t="s">
        <v>110</v>
      </c>
      <c r="E116" s="11" t="n">
        <v>586</v>
      </c>
      <c r="F116" s="12"/>
      <c r="G116" s="12" t="n">
        <v>2640</v>
      </c>
      <c r="H116" s="1" t="str">
        <f aca="false">VLOOKUP($E116,[1]ETB!$B$66:$C$674,2,0)</f>
        <v>Trade debtors</v>
      </c>
    </row>
    <row r="117" customFormat="false" ht="15" hidden="false" customHeight="true" outlineLevel="0" collapsed="false">
      <c r="A117" s="7" t="n">
        <v>313</v>
      </c>
      <c r="B117" s="8" t="n">
        <v>45215</v>
      </c>
      <c r="C117" s="9" t="s">
        <v>6</v>
      </c>
      <c r="D117" s="10" t="s">
        <v>111</v>
      </c>
      <c r="E117" s="11" t="n">
        <v>586</v>
      </c>
      <c r="F117" s="12"/>
      <c r="G117" s="12" t="n">
        <v>1989</v>
      </c>
      <c r="H117" s="1" t="str">
        <f aca="false">VLOOKUP($E117,[1]ETB!$B$66:$C$674,2,0)</f>
        <v>Trade debtors</v>
      </c>
    </row>
    <row r="118" customFormat="false" ht="15" hidden="false" customHeight="true" outlineLevel="0" collapsed="false">
      <c r="A118" s="7" t="n">
        <v>244</v>
      </c>
      <c r="B118" s="8" t="n">
        <v>45173</v>
      </c>
      <c r="C118" s="9" t="s">
        <v>30</v>
      </c>
      <c r="D118" s="10" t="s">
        <v>112</v>
      </c>
      <c r="E118" s="11" t="n">
        <v>586</v>
      </c>
      <c r="F118" s="12"/>
      <c r="G118" s="12" t="n">
        <v>289</v>
      </c>
      <c r="H118" s="1" t="str">
        <f aca="false">VLOOKUP($E118,[1]ETB!$B$66:$C$674,2,0)</f>
        <v>Trade debtors</v>
      </c>
    </row>
    <row r="119" customFormat="false" ht="15" hidden="false" customHeight="true" outlineLevel="0" collapsed="false">
      <c r="A119" s="7" t="n">
        <v>77</v>
      </c>
      <c r="B119" s="8" t="n">
        <v>45176</v>
      </c>
      <c r="C119" s="9" t="s">
        <v>30</v>
      </c>
      <c r="D119" s="10" t="s">
        <v>112</v>
      </c>
      <c r="E119" s="11" t="n">
        <v>586</v>
      </c>
      <c r="F119" s="12"/>
      <c r="G119" s="12" t="n">
        <v>2200</v>
      </c>
      <c r="H119" s="1" t="str">
        <f aca="false">VLOOKUP($E119,[1]ETB!$B$66:$C$674,2,0)</f>
        <v>Trade debtors</v>
      </c>
    </row>
    <row r="120" customFormat="false" ht="15" hidden="false" customHeight="true" outlineLevel="0" collapsed="false">
      <c r="A120" s="7" t="n">
        <v>109</v>
      </c>
      <c r="B120" s="8" t="n">
        <v>45096</v>
      </c>
      <c r="C120" s="9" t="s">
        <v>6</v>
      </c>
      <c r="D120" s="10" t="s">
        <v>113</v>
      </c>
      <c r="E120" s="11" t="n">
        <v>586</v>
      </c>
      <c r="F120" s="12"/>
      <c r="G120" s="12" t="n">
        <v>289</v>
      </c>
      <c r="H120" s="1" t="str">
        <f aca="false">VLOOKUP($E120,[1]ETB!$B$66:$C$674,2,0)</f>
        <v>Trade debtors</v>
      </c>
    </row>
    <row r="121" customFormat="false" ht="15" hidden="false" customHeight="true" outlineLevel="0" collapsed="false">
      <c r="A121" s="7" t="n">
        <v>297</v>
      </c>
      <c r="B121" s="8" t="n">
        <v>45103</v>
      </c>
      <c r="C121" s="9" t="s">
        <v>6</v>
      </c>
      <c r="D121" s="10" t="s">
        <v>113</v>
      </c>
      <c r="E121" s="11" t="n">
        <v>586</v>
      </c>
      <c r="F121" s="12"/>
      <c r="G121" s="12" t="n">
        <v>2111</v>
      </c>
      <c r="H121" s="1" t="str">
        <f aca="false">VLOOKUP($E121,[1]ETB!$B$66:$C$674,2,0)</f>
        <v>Trade debtors</v>
      </c>
    </row>
    <row r="122" customFormat="false" ht="15" hidden="false" customHeight="true" outlineLevel="0" collapsed="false">
      <c r="A122" s="7" t="n">
        <v>301</v>
      </c>
      <c r="B122" s="8" t="n">
        <v>45103</v>
      </c>
      <c r="C122" s="9" t="s">
        <v>6</v>
      </c>
      <c r="D122" s="10" t="s">
        <v>114</v>
      </c>
      <c r="E122" s="11" t="n">
        <v>586</v>
      </c>
      <c r="F122" s="12"/>
      <c r="G122" s="12" t="n">
        <v>3650</v>
      </c>
      <c r="H122" s="1" t="str">
        <f aca="false">VLOOKUP($E122,[1]ETB!$B$66:$C$674,2,0)</f>
        <v>Trade debtors</v>
      </c>
    </row>
    <row r="123" customFormat="false" ht="15" hidden="false" customHeight="true" outlineLevel="0" collapsed="false">
      <c r="A123" s="7" t="n">
        <v>12</v>
      </c>
      <c r="B123" s="8" t="n">
        <v>45019</v>
      </c>
      <c r="C123" s="9" t="s">
        <v>6</v>
      </c>
      <c r="D123" s="10" t="s">
        <v>115</v>
      </c>
      <c r="E123" s="11" t="n">
        <v>586</v>
      </c>
      <c r="F123" s="12"/>
      <c r="G123" s="12" t="n">
        <v>939</v>
      </c>
      <c r="H123" s="1" t="str">
        <f aca="false">VLOOKUP($E123,[1]ETB!$B$66:$C$674,2,0)</f>
        <v>Trade debtors</v>
      </c>
    </row>
    <row r="124" customFormat="false" ht="15" hidden="false" customHeight="true" outlineLevel="0" collapsed="false">
      <c r="A124" s="7" t="n">
        <v>30</v>
      </c>
      <c r="B124" s="8" t="n">
        <v>45019</v>
      </c>
      <c r="C124" s="9" t="s">
        <v>6</v>
      </c>
      <c r="D124" s="10" t="s">
        <v>116</v>
      </c>
      <c r="E124" s="11" t="n">
        <v>586</v>
      </c>
      <c r="F124" s="12"/>
      <c r="G124" s="12" t="n">
        <v>1000</v>
      </c>
      <c r="H124" s="1" t="str">
        <f aca="false">VLOOKUP($E124,[1]ETB!$B$66:$C$674,2,0)</f>
        <v>Trade debtors</v>
      </c>
    </row>
    <row r="125" customFormat="false" ht="15" hidden="false" customHeight="true" outlineLevel="0" collapsed="false">
      <c r="A125" s="7" t="n">
        <v>83</v>
      </c>
      <c r="B125" s="8" t="n">
        <v>45013</v>
      </c>
      <c r="C125" s="9" t="s">
        <v>6</v>
      </c>
      <c r="D125" s="10" t="s">
        <v>117</v>
      </c>
      <c r="E125" s="11" t="n">
        <v>586</v>
      </c>
      <c r="F125" s="12"/>
      <c r="G125" s="12" t="n">
        <v>250</v>
      </c>
      <c r="H125" s="1" t="str">
        <f aca="false">VLOOKUP($E125,[1]ETB!$B$66:$C$674,2,0)</f>
        <v>Trade debtors</v>
      </c>
    </row>
    <row r="126" customFormat="false" ht="15" hidden="false" customHeight="true" outlineLevel="0" collapsed="false">
      <c r="A126" s="7" t="n">
        <v>340</v>
      </c>
      <c r="B126" s="8" t="n">
        <v>45211</v>
      </c>
      <c r="C126" s="9" t="s">
        <v>30</v>
      </c>
      <c r="D126" s="10" t="s">
        <v>118</v>
      </c>
      <c r="E126" s="11" t="n">
        <v>586</v>
      </c>
      <c r="F126" s="12"/>
      <c r="G126" s="12" t="n">
        <v>600</v>
      </c>
      <c r="H126" s="1" t="str">
        <f aca="false">VLOOKUP($E126,[1]ETB!$B$66:$C$674,2,0)</f>
        <v>Trade debtors</v>
      </c>
    </row>
    <row r="127" customFormat="false" ht="15" hidden="false" customHeight="true" outlineLevel="0" collapsed="false">
      <c r="A127" s="7" t="n">
        <v>285</v>
      </c>
      <c r="B127" s="8" t="n">
        <v>45167</v>
      </c>
      <c r="C127" s="9" t="s">
        <v>6</v>
      </c>
      <c r="D127" s="10" t="s">
        <v>119</v>
      </c>
      <c r="E127" s="11" t="n">
        <v>586</v>
      </c>
      <c r="F127" s="12"/>
      <c r="G127" s="12" t="n">
        <v>250</v>
      </c>
      <c r="H127" s="1" t="str">
        <f aca="false">VLOOKUP($E127,[1]ETB!$B$66:$C$674,2,0)</f>
        <v>Trade debtors</v>
      </c>
    </row>
    <row r="128" customFormat="false" ht="15" hidden="false" customHeight="true" outlineLevel="0" collapsed="false">
      <c r="A128" s="7" t="n">
        <v>337</v>
      </c>
      <c r="B128" s="8" t="n">
        <v>45103</v>
      </c>
      <c r="C128" s="9" t="s">
        <v>6</v>
      </c>
      <c r="D128" s="10" t="s">
        <v>120</v>
      </c>
      <c r="E128" s="11" t="n">
        <v>586</v>
      </c>
      <c r="F128" s="12"/>
      <c r="G128" s="12" t="n">
        <v>2400</v>
      </c>
      <c r="H128" s="1" t="str">
        <f aca="false">VLOOKUP($E128,[1]ETB!$B$66:$C$674,2,0)</f>
        <v>Trade debtors</v>
      </c>
    </row>
    <row r="129" customFormat="false" ht="15" hidden="false" customHeight="true" outlineLevel="0" collapsed="false">
      <c r="A129" s="7" t="n">
        <v>58</v>
      </c>
      <c r="B129" s="8" t="n">
        <v>45140</v>
      </c>
      <c r="C129" s="9" t="s">
        <v>30</v>
      </c>
      <c r="D129" s="10" t="s">
        <v>121</v>
      </c>
      <c r="E129" s="11" t="n">
        <v>586</v>
      </c>
      <c r="F129" s="12"/>
      <c r="G129" s="12" t="n">
        <v>300</v>
      </c>
      <c r="H129" s="1" t="str">
        <f aca="false">VLOOKUP($E129,[1]ETB!$B$66:$C$674,2,0)</f>
        <v>Trade debtors</v>
      </c>
    </row>
    <row r="130" customFormat="false" ht="15" hidden="false" customHeight="true" outlineLevel="0" collapsed="false">
      <c r="A130" s="7" t="n">
        <v>314</v>
      </c>
      <c r="B130" s="8" t="n">
        <v>45190</v>
      </c>
      <c r="C130" s="9" t="s">
        <v>6</v>
      </c>
      <c r="D130" s="10" t="s">
        <v>122</v>
      </c>
      <c r="E130" s="11" t="n">
        <v>586</v>
      </c>
      <c r="F130" s="12"/>
      <c r="G130" s="12" t="n">
        <v>14500</v>
      </c>
      <c r="H130" s="1" t="str">
        <f aca="false">VLOOKUP($E130,[1]ETB!$B$66:$C$674,2,0)</f>
        <v>Trade debtors</v>
      </c>
    </row>
    <row r="131" customFormat="false" ht="15" hidden="false" customHeight="true" outlineLevel="0" collapsed="false">
      <c r="A131" s="7" t="n">
        <v>263</v>
      </c>
      <c r="B131" s="8" t="n">
        <v>45183</v>
      </c>
      <c r="C131" s="9" t="s">
        <v>6</v>
      </c>
      <c r="D131" s="10" t="s">
        <v>123</v>
      </c>
      <c r="E131" s="11" t="n">
        <v>586</v>
      </c>
      <c r="F131" s="12"/>
      <c r="G131" s="12" t="n">
        <v>489</v>
      </c>
      <c r="H131" s="1" t="str">
        <f aca="false">VLOOKUP($E131,[1]ETB!$B$66:$C$674,2,0)</f>
        <v>Trade debtors</v>
      </c>
    </row>
    <row r="132" customFormat="false" ht="15" hidden="false" customHeight="true" outlineLevel="0" collapsed="false">
      <c r="A132" s="7" t="n">
        <v>105</v>
      </c>
      <c r="B132" s="8" t="n">
        <v>45215</v>
      </c>
      <c r="C132" s="9" t="s">
        <v>6</v>
      </c>
      <c r="D132" s="10" t="s">
        <v>124</v>
      </c>
      <c r="E132" s="11" t="n">
        <v>586</v>
      </c>
      <c r="F132" s="12"/>
      <c r="G132" s="12" t="n">
        <v>2710</v>
      </c>
      <c r="H132" s="1" t="str">
        <f aca="false">VLOOKUP($E132,[1]ETB!$B$66:$C$674,2,0)</f>
        <v>Trade debtors</v>
      </c>
    </row>
    <row r="133" customFormat="false" ht="15" hidden="false" customHeight="true" outlineLevel="0" collapsed="false">
      <c r="A133" s="7" t="n">
        <v>106</v>
      </c>
      <c r="B133" s="8" t="n">
        <v>45189</v>
      </c>
      <c r="C133" s="9" t="s">
        <v>6</v>
      </c>
      <c r="D133" s="10" t="s">
        <v>125</v>
      </c>
      <c r="E133" s="11" t="n">
        <v>586</v>
      </c>
      <c r="F133" s="12"/>
      <c r="G133" s="12" t="n">
        <v>5789</v>
      </c>
      <c r="H133" s="1" t="str">
        <f aca="false">VLOOKUP($E133,[1]ETB!$B$66:$C$674,2,0)</f>
        <v>Trade debtors</v>
      </c>
    </row>
    <row r="134" customFormat="false" ht="15" hidden="false" customHeight="true" outlineLevel="0" collapsed="false">
      <c r="A134" s="7" t="n">
        <v>107</v>
      </c>
      <c r="B134" s="8" t="n">
        <v>45184</v>
      </c>
      <c r="C134" s="9" t="s">
        <v>30</v>
      </c>
      <c r="D134" s="10" t="s">
        <v>126</v>
      </c>
      <c r="E134" s="11" t="n">
        <v>586</v>
      </c>
      <c r="F134" s="12"/>
      <c r="G134" s="12" t="n">
        <v>700</v>
      </c>
      <c r="H134" s="1" t="str">
        <f aca="false">VLOOKUP($E134,[1]ETB!$B$66:$C$674,2,0)</f>
        <v>Trade debtors</v>
      </c>
    </row>
    <row r="135" customFormat="false" ht="15" hidden="false" customHeight="true" outlineLevel="0" collapsed="false">
      <c r="A135" s="7" t="n">
        <v>108</v>
      </c>
      <c r="B135" s="8" t="n">
        <v>45184</v>
      </c>
      <c r="C135" s="9" t="s">
        <v>30</v>
      </c>
      <c r="D135" s="10" t="s">
        <v>126</v>
      </c>
      <c r="E135" s="11" t="n">
        <v>586</v>
      </c>
      <c r="F135" s="12"/>
      <c r="G135" s="12" t="n">
        <v>2000</v>
      </c>
      <c r="H135" s="1" t="str">
        <f aca="false">VLOOKUP($E135,[1]ETB!$B$66:$C$674,2,0)</f>
        <v>Trade debtors</v>
      </c>
    </row>
    <row r="136" customFormat="false" ht="15" hidden="false" customHeight="true" outlineLevel="0" collapsed="false">
      <c r="A136" s="7" t="n">
        <v>254</v>
      </c>
      <c r="B136" s="8" t="n">
        <v>45184</v>
      </c>
      <c r="C136" s="9" t="s">
        <v>30</v>
      </c>
      <c r="D136" s="10" t="s">
        <v>126</v>
      </c>
      <c r="E136" s="11" t="n">
        <v>586</v>
      </c>
      <c r="F136" s="12"/>
      <c r="G136" s="12" t="n">
        <v>289</v>
      </c>
      <c r="H136" s="1" t="str">
        <f aca="false">VLOOKUP($E136,[1]ETB!$B$66:$C$674,2,0)</f>
        <v>Trade debtors</v>
      </c>
    </row>
    <row r="137" customFormat="false" ht="15" hidden="false" customHeight="true" outlineLevel="0" collapsed="false">
      <c r="A137" s="7" t="n">
        <v>315</v>
      </c>
      <c r="B137" s="8" t="n">
        <v>45036</v>
      </c>
      <c r="C137" s="9" t="s">
        <v>6</v>
      </c>
      <c r="D137" s="10" t="s">
        <v>127</v>
      </c>
      <c r="E137" s="11" t="n">
        <v>586</v>
      </c>
      <c r="F137" s="12"/>
      <c r="G137" s="12" t="n">
        <v>250</v>
      </c>
      <c r="H137" s="1" t="str">
        <f aca="false">VLOOKUP($E137,[1]ETB!$B$66:$C$674,2,0)</f>
        <v>Trade debtors</v>
      </c>
    </row>
    <row r="138" customFormat="false" ht="15" hidden="false" customHeight="true" outlineLevel="0" collapsed="false">
      <c r="A138" s="7" t="n">
        <v>322</v>
      </c>
      <c r="B138" s="8" t="n">
        <v>45037</v>
      </c>
      <c r="C138" s="9" t="s">
        <v>6</v>
      </c>
      <c r="D138" s="10" t="s">
        <v>127</v>
      </c>
      <c r="E138" s="11" t="n">
        <v>586</v>
      </c>
      <c r="F138" s="12"/>
      <c r="G138" s="12" t="n">
        <v>2700</v>
      </c>
      <c r="H138" s="1" t="str">
        <f aca="false">VLOOKUP($E138,[1]ETB!$B$66:$C$674,2,0)</f>
        <v>Trade debtors</v>
      </c>
    </row>
    <row r="139" customFormat="false" ht="15" hidden="false" customHeight="true" outlineLevel="0" collapsed="false">
      <c r="A139" s="7" t="n">
        <v>112</v>
      </c>
      <c r="B139" s="8" t="n">
        <v>45020</v>
      </c>
      <c r="C139" s="9" t="s">
        <v>6</v>
      </c>
      <c r="D139" s="10" t="s">
        <v>128</v>
      </c>
      <c r="E139" s="11" t="n">
        <v>586</v>
      </c>
      <c r="F139" s="12"/>
      <c r="G139" s="12" t="n">
        <v>1450</v>
      </c>
      <c r="H139" s="1" t="str">
        <f aca="false">VLOOKUP($E139,[1]ETB!$B$66:$C$674,2,0)</f>
        <v>Trade debtors</v>
      </c>
    </row>
    <row r="140" customFormat="false" ht="15" hidden="false" customHeight="true" outlineLevel="0" collapsed="false">
      <c r="A140" s="7" t="n">
        <v>113</v>
      </c>
      <c r="B140" s="8" t="n">
        <v>45180</v>
      </c>
      <c r="C140" s="9" t="s">
        <v>6</v>
      </c>
      <c r="D140" s="10" t="s">
        <v>129</v>
      </c>
      <c r="E140" s="11" t="n">
        <v>586</v>
      </c>
      <c r="F140" s="12"/>
      <c r="G140" s="12" t="n">
        <v>1489</v>
      </c>
      <c r="H140" s="1" t="str">
        <f aca="false">VLOOKUP($E140,[1]ETB!$B$66:$C$674,2,0)</f>
        <v>Trade debtors</v>
      </c>
    </row>
    <row r="141" customFormat="false" ht="15" hidden="false" customHeight="true" outlineLevel="0" collapsed="false">
      <c r="A141" s="7" t="n">
        <v>114</v>
      </c>
      <c r="B141" s="8" t="n">
        <v>44988</v>
      </c>
      <c r="C141" s="9" t="s">
        <v>6</v>
      </c>
      <c r="D141" s="10" t="s">
        <v>130</v>
      </c>
      <c r="E141" s="11" t="n">
        <v>586</v>
      </c>
      <c r="F141" s="12"/>
      <c r="G141" s="12" t="n">
        <v>2989</v>
      </c>
      <c r="H141" s="1" t="str">
        <f aca="false">VLOOKUP($E141,[1]ETB!$B$66:$C$674,2,0)</f>
        <v>Trade debtors</v>
      </c>
    </row>
    <row r="142" customFormat="false" ht="15" hidden="false" customHeight="true" outlineLevel="0" collapsed="false">
      <c r="A142" s="7" t="n">
        <v>257</v>
      </c>
      <c r="B142" s="8" t="n">
        <v>45160</v>
      </c>
      <c r="C142" s="9" t="s">
        <v>6</v>
      </c>
      <c r="D142" s="10" t="s">
        <v>131</v>
      </c>
      <c r="E142" s="11" t="n">
        <v>586</v>
      </c>
      <c r="F142" s="12"/>
      <c r="G142" s="12" t="n">
        <v>2189</v>
      </c>
      <c r="H142" s="1" t="str">
        <f aca="false">VLOOKUP($E142,[1]ETB!$B$66:$C$674,2,0)</f>
        <v>Trade debtors</v>
      </c>
    </row>
    <row r="143" customFormat="false" ht="15" hidden="false" customHeight="true" outlineLevel="0" collapsed="false">
      <c r="A143" s="7" t="n">
        <v>141</v>
      </c>
      <c r="B143" s="8" t="n">
        <v>45001</v>
      </c>
      <c r="C143" s="9" t="s">
        <v>6</v>
      </c>
      <c r="D143" s="10" t="s">
        <v>132</v>
      </c>
      <c r="E143" s="11" t="n">
        <v>586</v>
      </c>
      <c r="F143" s="12"/>
      <c r="G143" s="12" t="n">
        <v>3989</v>
      </c>
      <c r="H143" s="1" t="str">
        <f aca="false">VLOOKUP($E143,[1]ETB!$B$66:$C$674,2,0)</f>
        <v>Trade debtors</v>
      </c>
    </row>
    <row r="144" customFormat="false" ht="15" hidden="false" customHeight="true" outlineLevel="0" collapsed="false">
      <c r="A144" s="7" t="n">
        <v>17</v>
      </c>
      <c r="B144" s="8" t="n">
        <v>44985</v>
      </c>
      <c r="C144" s="9" t="s">
        <v>6</v>
      </c>
      <c r="D144" s="10" t="s">
        <v>133</v>
      </c>
      <c r="E144" s="11" t="n">
        <v>586</v>
      </c>
      <c r="F144" s="12"/>
      <c r="G144" s="12" t="n">
        <v>250</v>
      </c>
      <c r="H144" s="1" t="str">
        <f aca="false">VLOOKUP($E144,[1]ETB!$B$66:$C$674,2,0)</f>
        <v>Trade debtors</v>
      </c>
    </row>
    <row r="145" customFormat="false" ht="15" hidden="false" customHeight="true" outlineLevel="0" collapsed="false">
      <c r="A145" s="7" t="n">
        <v>156</v>
      </c>
      <c r="B145" s="8" t="n">
        <v>45021</v>
      </c>
      <c r="C145" s="9" t="s">
        <v>30</v>
      </c>
      <c r="D145" s="10" t="s">
        <v>134</v>
      </c>
      <c r="E145" s="11" t="n">
        <v>586</v>
      </c>
      <c r="F145" s="12"/>
      <c r="G145" s="12" t="n">
        <v>2000</v>
      </c>
      <c r="H145" s="1" t="str">
        <f aca="false">VLOOKUP($E145,[1]ETB!$B$66:$C$674,2,0)</f>
        <v>Trade debtors</v>
      </c>
    </row>
    <row r="146" customFormat="false" ht="15" hidden="false" customHeight="true" outlineLevel="0" collapsed="false">
      <c r="A146" s="7" t="n">
        <v>159</v>
      </c>
      <c r="B146" s="8" t="n">
        <v>45021</v>
      </c>
      <c r="C146" s="9" t="s">
        <v>30</v>
      </c>
      <c r="D146" s="10" t="s">
        <v>134</v>
      </c>
      <c r="E146" s="11" t="n">
        <v>586</v>
      </c>
      <c r="F146" s="12"/>
      <c r="G146" s="12" t="n">
        <v>739</v>
      </c>
      <c r="H146" s="1" t="str">
        <f aca="false">VLOOKUP($E146,[1]ETB!$B$66:$C$674,2,0)</f>
        <v>Trade debtors</v>
      </c>
    </row>
    <row r="147" customFormat="false" ht="15" hidden="false" customHeight="true" outlineLevel="0" collapsed="false">
      <c r="A147" s="7" t="n">
        <v>163</v>
      </c>
      <c r="B147" s="8" t="n">
        <v>45238</v>
      </c>
      <c r="C147" s="9" t="s">
        <v>6</v>
      </c>
      <c r="D147" s="10" t="s">
        <v>135</v>
      </c>
      <c r="E147" s="11" t="n">
        <v>586</v>
      </c>
      <c r="F147" s="12"/>
      <c r="G147" s="12" t="n">
        <v>1400</v>
      </c>
      <c r="H147" s="1" t="str">
        <f aca="false">VLOOKUP($E147,[1]ETB!$B$66:$C$674,2,0)</f>
        <v>Trade debtors</v>
      </c>
    </row>
    <row r="148" customFormat="false" ht="15" hidden="false" customHeight="true" outlineLevel="0" collapsed="false">
      <c r="A148" s="7" t="n">
        <v>121</v>
      </c>
      <c r="B148" s="8" t="n">
        <v>45237</v>
      </c>
      <c r="C148" s="9" t="s">
        <v>6</v>
      </c>
      <c r="D148" s="10" t="s">
        <v>136</v>
      </c>
      <c r="E148" s="11" t="n">
        <v>586</v>
      </c>
      <c r="F148" s="12"/>
      <c r="G148" s="12" t="n">
        <v>300</v>
      </c>
      <c r="H148" s="1" t="str">
        <f aca="false">VLOOKUP($E148,[1]ETB!$B$66:$C$674,2,0)</f>
        <v>Trade debtors</v>
      </c>
    </row>
    <row r="149" customFormat="false" ht="15" hidden="false" customHeight="true" outlineLevel="0" collapsed="false">
      <c r="A149" s="7" t="n">
        <v>47</v>
      </c>
      <c r="B149" s="8" t="n">
        <v>44970</v>
      </c>
      <c r="C149" s="9" t="s">
        <v>6</v>
      </c>
      <c r="D149" s="10" t="s">
        <v>137</v>
      </c>
      <c r="E149" s="11" t="n">
        <v>586</v>
      </c>
      <c r="F149" s="12"/>
      <c r="G149" s="12" t="n">
        <v>250</v>
      </c>
      <c r="H149" s="1" t="str">
        <f aca="false">VLOOKUP($E149,[1]ETB!$B$66:$C$674,2,0)</f>
        <v>Trade debtors</v>
      </c>
    </row>
    <row r="150" customFormat="false" ht="15" hidden="false" customHeight="true" outlineLevel="0" collapsed="false">
      <c r="A150" s="7" t="n">
        <v>123</v>
      </c>
      <c r="B150" s="8" t="n">
        <v>45208</v>
      </c>
      <c r="C150" s="9" t="s">
        <v>6</v>
      </c>
      <c r="D150" s="10" t="s">
        <v>138</v>
      </c>
      <c r="E150" s="11" t="n">
        <v>586</v>
      </c>
      <c r="F150" s="12"/>
      <c r="G150" s="12" t="n">
        <v>2889</v>
      </c>
      <c r="H150" s="1" t="str">
        <f aca="false">VLOOKUP($E150,[1]ETB!$B$66:$C$674,2,0)</f>
        <v>Trade debtors</v>
      </c>
    </row>
    <row r="151" customFormat="false" ht="15" hidden="false" customHeight="true" outlineLevel="0" collapsed="false">
      <c r="A151" s="7" t="n">
        <v>238</v>
      </c>
      <c r="B151" s="8" t="n">
        <v>45159</v>
      </c>
      <c r="C151" s="9" t="s">
        <v>139</v>
      </c>
      <c r="D151" s="10" t="s">
        <v>140</v>
      </c>
      <c r="E151" s="11" t="n">
        <v>586</v>
      </c>
      <c r="F151" s="12"/>
      <c r="G151" s="12" t="n">
        <v>4298</v>
      </c>
      <c r="H151" s="1" t="str">
        <f aca="false">VLOOKUP($E151,[1]ETB!$B$66:$C$674,2,0)</f>
        <v>Trade debtors</v>
      </c>
    </row>
    <row r="152" customFormat="false" ht="15" hidden="false" customHeight="true" outlineLevel="0" collapsed="false">
      <c r="A152" s="7" t="n">
        <v>234</v>
      </c>
      <c r="B152" s="8" t="n">
        <v>45156</v>
      </c>
      <c r="C152" s="9" t="s">
        <v>13</v>
      </c>
      <c r="D152" s="10" t="s">
        <v>141</v>
      </c>
      <c r="E152" s="11" t="n">
        <v>586</v>
      </c>
      <c r="F152" s="12"/>
      <c r="G152" s="12" t="n">
        <v>500</v>
      </c>
      <c r="H152" s="1" t="str">
        <f aca="false">VLOOKUP($E152,[1]ETB!$B$66:$C$674,2,0)</f>
        <v>Trade debtors</v>
      </c>
    </row>
    <row r="153" customFormat="false" ht="15" hidden="false" customHeight="true" outlineLevel="0" collapsed="false">
      <c r="A153" s="7" t="n">
        <v>126</v>
      </c>
      <c r="B153" s="8" t="n">
        <v>45216</v>
      </c>
      <c r="C153" s="9" t="s">
        <v>30</v>
      </c>
      <c r="D153" s="10" t="s">
        <v>142</v>
      </c>
      <c r="E153" s="11" t="n">
        <v>586</v>
      </c>
      <c r="F153" s="12"/>
      <c r="G153" s="12" t="n">
        <v>1539</v>
      </c>
      <c r="H153" s="1" t="str">
        <f aca="false">VLOOKUP($E153,[1]ETB!$B$66:$C$674,2,0)</f>
        <v>Trade debtors</v>
      </c>
    </row>
    <row r="154" customFormat="false" ht="15" hidden="false" customHeight="true" outlineLevel="0" collapsed="false">
      <c r="A154" s="7" t="n">
        <v>127</v>
      </c>
      <c r="B154" s="8" t="n">
        <v>45216</v>
      </c>
      <c r="C154" s="9" t="s">
        <v>30</v>
      </c>
      <c r="D154" s="10" t="s">
        <v>142</v>
      </c>
      <c r="E154" s="11" t="n">
        <v>586</v>
      </c>
      <c r="F154" s="12"/>
      <c r="G154" s="12" t="n">
        <v>2000</v>
      </c>
      <c r="H154" s="1" t="str">
        <f aca="false">VLOOKUP($E154,[1]ETB!$B$66:$C$674,2,0)</f>
        <v>Trade debtors</v>
      </c>
    </row>
    <row r="155" customFormat="false" ht="15" hidden="false" customHeight="true" outlineLevel="0" collapsed="false">
      <c r="A155" s="7" t="n">
        <v>29</v>
      </c>
      <c r="B155" s="8" t="n">
        <v>45113</v>
      </c>
      <c r="C155" s="9" t="s">
        <v>6</v>
      </c>
      <c r="D155" s="10" t="s">
        <v>143</v>
      </c>
      <c r="E155" s="11" t="n">
        <v>586</v>
      </c>
      <c r="F155" s="12"/>
      <c r="G155" s="12" t="n">
        <v>2000</v>
      </c>
      <c r="H155" s="1" t="str">
        <f aca="false">VLOOKUP($E155,[1]ETB!$B$66:$C$674,2,0)</f>
        <v>Trade debtors</v>
      </c>
    </row>
    <row r="156" customFormat="false" ht="15" hidden="false" customHeight="true" outlineLevel="0" collapsed="false">
      <c r="A156" s="7" t="n">
        <v>223</v>
      </c>
      <c r="B156" s="8" t="n">
        <v>45076</v>
      </c>
      <c r="C156" s="9" t="s">
        <v>6</v>
      </c>
      <c r="D156" s="10" t="s">
        <v>144</v>
      </c>
      <c r="E156" s="11" t="n">
        <v>586</v>
      </c>
      <c r="F156" s="12"/>
      <c r="G156" s="12" t="n">
        <v>250</v>
      </c>
      <c r="H156" s="1" t="str">
        <f aca="false">VLOOKUP($E156,[1]ETB!$B$66:$C$674,2,0)</f>
        <v>Trade debtors</v>
      </c>
    </row>
    <row r="157" customFormat="false" ht="15" hidden="false" customHeight="true" outlineLevel="0" collapsed="false">
      <c r="A157" s="7" t="n">
        <v>52</v>
      </c>
      <c r="B157" s="8" t="n">
        <v>45079</v>
      </c>
      <c r="C157" s="9" t="s">
        <v>30</v>
      </c>
      <c r="D157" s="10" t="s">
        <v>145</v>
      </c>
      <c r="E157" s="11" t="n">
        <v>586</v>
      </c>
      <c r="F157" s="12"/>
      <c r="G157" s="12" t="n">
        <v>1200</v>
      </c>
      <c r="H157" s="1" t="str">
        <f aca="false">VLOOKUP($E157,[1]ETB!$B$66:$C$674,2,0)</f>
        <v>Trade debtors</v>
      </c>
    </row>
    <row r="158" customFormat="false" ht="15" hidden="false" customHeight="true" outlineLevel="0" collapsed="false">
      <c r="A158" s="7" t="n">
        <v>69</v>
      </c>
      <c r="B158" s="8" t="n">
        <v>44970</v>
      </c>
      <c r="C158" s="9" t="s">
        <v>30</v>
      </c>
      <c r="D158" s="10" t="s">
        <v>146</v>
      </c>
      <c r="E158" s="11" t="n">
        <v>586</v>
      </c>
      <c r="F158" s="12"/>
      <c r="G158" s="12" t="n">
        <v>250</v>
      </c>
      <c r="H158" s="1" t="str">
        <f aca="false">VLOOKUP($E158,[1]ETB!$B$66:$C$674,2,0)</f>
        <v>Trade debtors</v>
      </c>
    </row>
    <row r="159" customFormat="false" ht="15" hidden="false" customHeight="true" outlineLevel="0" collapsed="false">
      <c r="A159" s="7" t="n">
        <v>134</v>
      </c>
      <c r="B159" s="8" t="n">
        <v>45236</v>
      </c>
      <c r="C159" s="9" t="s">
        <v>6</v>
      </c>
      <c r="D159" s="10" t="s">
        <v>147</v>
      </c>
      <c r="E159" s="11" t="n">
        <v>586</v>
      </c>
      <c r="F159" s="12"/>
      <c r="G159" s="12" t="n">
        <v>4500</v>
      </c>
      <c r="H159" s="1" t="str">
        <f aca="false">VLOOKUP($E159,[1]ETB!$B$66:$C$674,2,0)</f>
        <v>Trade debtors</v>
      </c>
    </row>
    <row r="160" customFormat="false" ht="15" hidden="false" customHeight="true" outlineLevel="0" collapsed="false">
      <c r="A160" s="7" t="n">
        <v>177</v>
      </c>
      <c r="B160" s="8" t="n">
        <v>45008</v>
      </c>
      <c r="C160" s="9" t="s">
        <v>6</v>
      </c>
      <c r="D160" s="10" t="s">
        <v>148</v>
      </c>
      <c r="E160" s="11" t="n">
        <v>586</v>
      </c>
      <c r="F160" s="12"/>
      <c r="G160" s="12" t="n">
        <v>2089</v>
      </c>
      <c r="H160" s="1" t="str">
        <f aca="false">VLOOKUP($E160,[1]ETB!$B$66:$C$674,2,0)</f>
        <v>Trade debtors</v>
      </c>
    </row>
    <row r="161" customFormat="false" ht="15" hidden="false" customHeight="true" outlineLevel="0" collapsed="false">
      <c r="A161" s="7" t="n">
        <v>136</v>
      </c>
      <c r="B161" s="8" t="n">
        <v>45229</v>
      </c>
      <c r="C161" s="9" t="s">
        <v>6</v>
      </c>
      <c r="D161" s="10" t="s">
        <v>149</v>
      </c>
      <c r="E161" s="11" t="n">
        <v>586</v>
      </c>
      <c r="F161" s="12"/>
      <c r="G161" s="12" t="n">
        <v>4089</v>
      </c>
      <c r="H161" s="1" t="str">
        <f aca="false">VLOOKUP($E161,[1]ETB!$B$66:$C$674,2,0)</f>
        <v>Trade debtors</v>
      </c>
    </row>
    <row r="162" customFormat="false" ht="15" hidden="false" customHeight="true" outlineLevel="0" collapsed="false">
      <c r="A162" s="7" t="n">
        <v>363</v>
      </c>
      <c r="B162" s="8" t="n">
        <v>45243</v>
      </c>
      <c r="C162" s="9" t="s">
        <v>6</v>
      </c>
      <c r="D162" s="10" t="s">
        <v>150</v>
      </c>
      <c r="E162" s="11" t="n">
        <v>586</v>
      </c>
      <c r="F162" s="12"/>
      <c r="G162" s="12" t="n">
        <v>289</v>
      </c>
      <c r="H162" s="1" t="str">
        <f aca="false">VLOOKUP($E162,[1]ETB!$B$66:$C$674,2,0)</f>
        <v>Trade debtors</v>
      </c>
    </row>
    <row r="163" customFormat="false" ht="15" hidden="false" customHeight="true" outlineLevel="0" collapsed="false">
      <c r="A163" s="7" t="n">
        <v>138</v>
      </c>
      <c r="B163" s="8" t="n">
        <v>45257</v>
      </c>
      <c r="C163" s="9" t="s">
        <v>6</v>
      </c>
      <c r="D163" s="10" t="s">
        <v>151</v>
      </c>
      <c r="E163" s="11" t="n">
        <v>586</v>
      </c>
      <c r="F163" s="12"/>
      <c r="G163" s="12" t="n">
        <v>1700</v>
      </c>
      <c r="H163" s="1" t="str">
        <f aca="false">VLOOKUP($E163,[1]ETB!$B$66:$C$674,2,0)</f>
        <v>Trade debtors</v>
      </c>
    </row>
    <row r="164" customFormat="false" ht="15" hidden="false" customHeight="true" outlineLevel="0" collapsed="false">
      <c r="A164" s="7" t="n">
        <v>139</v>
      </c>
      <c r="B164" s="8" t="n">
        <v>45210</v>
      </c>
      <c r="C164" s="9" t="s">
        <v>6</v>
      </c>
      <c r="D164" s="10" t="s">
        <v>152</v>
      </c>
      <c r="E164" s="11" t="n">
        <v>586</v>
      </c>
      <c r="F164" s="12"/>
      <c r="G164" s="12" t="n">
        <v>300</v>
      </c>
      <c r="H164" s="1" t="str">
        <f aca="false">VLOOKUP($E164,[1]ETB!$B$66:$C$674,2,0)</f>
        <v>Trade debtors</v>
      </c>
    </row>
    <row r="165" customFormat="false" ht="15" hidden="false" customHeight="true" outlineLevel="0" collapsed="false">
      <c r="A165" s="7" t="n">
        <v>140</v>
      </c>
      <c r="B165" s="8" t="n">
        <v>45217</v>
      </c>
      <c r="C165" s="9" t="s">
        <v>6</v>
      </c>
      <c r="D165" s="10" t="s">
        <v>152</v>
      </c>
      <c r="E165" s="11" t="n">
        <v>586</v>
      </c>
      <c r="F165" s="12"/>
      <c r="G165" s="12" t="n">
        <v>2000</v>
      </c>
      <c r="H165" s="1" t="str">
        <f aca="false">VLOOKUP($E165,[1]ETB!$B$66:$C$674,2,0)</f>
        <v>Trade debtors</v>
      </c>
    </row>
    <row r="166" customFormat="false" ht="15" hidden="false" customHeight="true" outlineLevel="0" collapsed="false">
      <c r="A166" s="7" t="n">
        <v>158</v>
      </c>
      <c r="B166" s="8" t="n">
        <v>45005</v>
      </c>
      <c r="C166" s="9" t="s">
        <v>6</v>
      </c>
      <c r="D166" s="10" t="s">
        <v>153</v>
      </c>
      <c r="E166" s="11" t="n">
        <v>586</v>
      </c>
      <c r="F166" s="19"/>
      <c r="G166" s="12" t="n">
        <v>3200</v>
      </c>
      <c r="H166" s="1" t="str">
        <f aca="false">VLOOKUP($E166,[1]ETB!$B$66:$C$674,2,0)</f>
        <v>Trade debtors</v>
      </c>
    </row>
    <row r="167" customFormat="false" ht="15" hidden="false" customHeight="true" outlineLevel="0" collapsed="false">
      <c r="A167" s="7" t="n">
        <v>28</v>
      </c>
      <c r="B167" s="8" t="n">
        <v>44935</v>
      </c>
      <c r="C167" s="9" t="s">
        <v>6</v>
      </c>
      <c r="D167" s="10" t="s">
        <v>154</v>
      </c>
      <c r="E167" s="11" t="n">
        <v>586</v>
      </c>
      <c r="F167" s="12"/>
      <c r="G167" s="12" t="n">
        <v>1300</v>
      </c>
      <c r="H167" s="1" t="str">
        <f aca="false">VLOOKUP($E167,[1]ETB!$B$66:$C$674,2,0)</f>
        <v>Trade debtors</v>
      </c>
    </row>
    <row r="168" customFormat="false" ht="15" hidden="false" customHeight="true" outlineLevel="0" collapsed="false">
      <c r="A168" s="7" t="n">
        <v>355</v>
      </c>
      <c r="B168" s="8" t="n">
        <v>45236</v>
      </c>
      <c r="C168" s="9" t="s">
        <v>6</v>
      </c>
      <c r="D168" s="10" t="s">
        <v>155</v>
      </c>
      <c r="E168" s="11" t="n">
        <v>586</v>
      </c>
      <c r="F168" s="12"/>
      <c r="G168" s="12" t="n">
        <v>289</v>
      </c>
      <c r="H168" s="1" t="str">
        <f aca="false">VLOOKUP($E168,[1]ETB!$B$66:$C$674,2,0)</f>
        <v>Trade debtors</v>
      </c>
    </row>
    <row r="169" customFormat="false" ht="15" hidden="false" customHeight="true" outlineLevel="0" collapsed="false">
      <c r="A169" s="7" t="n">
        <v>144</v>
      </c>
      <c r="B169" s="8" t="n">
        <v>45237</v>
      </c>
      <c r="C169" s="9" t="s">
        <v>6</v>
      </c>
      <c r="D169" s="10" t="s">
        <v>155</v>
      </c>
      <c r="E169" s="11" t="n">
        <v>586</v>
      </c>
      <c r="F169" s="12"/>
      <c r="G169" s="12" t="n">
        <v>2611</v>
      </c>
      <c r="H169" s="1" t="str">
        <f aca="false">VLOOKUP($E169,[1]ETB!$B$66:$C$674,2,0)</f>
        <v>Trade debtors</v>
      </c>
    </row>
    <row r="170" customFormat="false" ht="15" hidden="false" customHeight="true" outlineLevel="0" collapsed="false">
      <c r="A170" s="7" t="n">
        <v>161</v>
      </c>
      <c r="B170" s="8" t="n">
        <v>45124</v>
      </c>
      <c r="C170" s="9" t="s">
        <v>6</v>
      </c>
      <c r="D170" s="10" t="s">
        <v>156</v>
      </c>
      <c r="E170" s="11" t="n">
        <v>586</v>
      </c>
      <c r="F170" s="12"/>
      <c r="G170" s="12" t="n">
        <v>289</v>
      </c>
      <c r="H170" s="1" t="str">
        <f aca="false">VLOOKUP($E170,[1]ETB!$B$66:$C$674,2,0)</f>
        <v>Trade debtors</v>
      </c>
    </row>
    <row r="171" customFormat="false" ht="15" hidden="false" customHeight="true" outlineLevel="0" collapsed="false">
      <c r="A171" s="7" t="n">
        <v>283</v>
      </c>
      <c r="B171" s="8" t="n">
        <v>45131</v>
      </c>
      <c r="C171" s="9" t="s">
        <v>6</v>
      </c>
      <c r="D171" s="10" t="s">
        <v>156</v>
      </c>
      <c r="E171" s="11" t="n">
        <v>586</v>
      </c>
      <c r="F171" s="12"/>
      <c r="G171" s="12" t="n">
        <v>2511</v>
      </c>
      <c r="H171" s="1" t="str">
        <f aca="false">VLOOKUP($E171,[1]ETB!$B$66:$C$674,2,0)</f>
        <v>Trade debtors</v>
      </c>
    </row>
    <row r="172" customFormat="false" ht="15" hidden="false" customHeight="true" outlineLevel="0" collapsed="false">
      <c r="A172" s="7" t="n">
        <v>149</v>
      </c>
      <c r="B172" s="8" t="n">
        <v>45196</v>
      </c>
      <c r="C172" s="9" t="s">
        <v>6</v>
      </c>
      <c r="D172" s="10" t="s">
        <v>157</v>
      </c>
      <c r="E172" s="11" t="n">
        <v>586</v>
      </c>
      <c r="F172" s="12"/>
      <c r="G172" s="12" t="n">
        <v>489</v>
      </c>
      <c r="H172" s="1" t="str">
        <f aca="false">VLOOKUP($E172,[1]ETB!$B$66:$C$674,2,0)</f>
        <v>Trade debtors</v>
      </c>
    </row>
    <row r="173" customFormat="false" ht="15" hidden="false" customHeight="true" outlineLevel="0" collapsed="false">
      <c r="A173" s="7" t="n">
        <v>150</v>
      </c>
      <c r="B173" s="8" t="n">
        <v>45198</v>
      </c>
      <c r="C173" s="9" t="s">
        <v>6</v>
      </c>
      <c r="D173" s="10" t="s">
        <v>157</v>
      </c>
      <c r="E173" s="11" t="n">
        <v>586</v>
      </c>
      <c r="F173" s="12"/>
      <c r="G173" s="12" t="n">
        <v>2500</v>
      </c>
      <c r="H173" s="1" t="str">
        <f aca="false">VLOOKUP($E173,[1]ETB!$B$66:$C$674,2,0)</f>
        <v>Trade debtors</v>
      </c>
    </row>
    <row r="174" customFormat="false" ht="15" hidden="false" customHeight="true" outlineLevel="0" collapsed="false">
      <c r="A174" s="7" t="n">
        <v>151</v>
      </c>
      <c r="B174" s="8" t="n">
        <v>45068</v>
      </c>
      <c r="C174" s="9" t="s">
        <v>6</v>
      </c>
      <c r="D174" s="10" t="s">
        <v>158</v>
      </c>
      <c r="E174" s="11" t="n">
        <v>586</v>
      </c>
      <c r="F174" s="19"/>
      <c r="G174" s="12" t="n">
        <v>989</v>
      </c>
      <c r="H174" s="1" t="str">
        <f aca="false">VLOOKUP($E174,[1]ETB!$B$66:$C$674,2,0)</f>
        <v>Trade debtors</v>
      </c>
    </row>
    <row r="175" customFormat="false" ht="15" hidden="false" customHeight="true" outlineLevel="0" collapsed="false">
      <c r="A175" s="7" t="n">
        <v>101</v>
      </c>
      <c r="B175" s="8" t="n">
        <v>45145</v>
      </c>
      <c r="C175" s="9" t="s">
        <v>6</v>
      </c>
      <c r="D175" s="10" t="s">
        <v>159</v>
      </c>
      <c r="E175" s="11" t="n">
        <v>586</v>
      </c>
      <c r="F175" s="12"/>
      <c r="G175" s="12" t="n">
        <v>1800</v>
      </c>
      <c r="H175" s="1" t="str">
        <f aca="false">VLOOKUP($E175,[1]ETB!$B$66:$C$674,2,0)</f>
        <v>Trade debtors</v>
      </c>
    </row>
    <row r="176" customFormat="false" ht="15" hidden="false" customHeight="true" outlineLevel="0" collapsed="false">
      <c r="A176" s="7" t="n">
        <v>258</v>
      </c>
      <c r="B176" s="8" t="n">
        <v>44952</v>
      </c>
      <c r="C176" s="9" t="s">
        <v>6</v>
      </c>
      <c r="D176" s="10" t="s">
        <v>160</v>
      </c>
      <c r="E176" s="11" t="n">
        <v>586</v>
      </c>
      <c r="F176" s="12"/>
      <c r="G176" s="12" t="n">
        <v>489</v>
      </c>
      <c r="H176" s="1" t="str">
        <f aca="false">VLOOKUP($E176,[1]ETB!$B$66:$C$674,2,0)</f>
        <v>Trade debtors</v>
      </c>
    </row>
    <row r="177" customFormat="false" ht="15" hidden="false" customHeight="true" outlineLevel="0" collapsed="false">
      <c r="A177" s="7" t="n">
        <v>202</v>
      </c>
      <c r="B177" s="8" t="n">
        <v>45022</v>
      </c>
      <c r="C177" s="9" t="s">
        <v>6</v>
      </c>
      <c r="D177" s="10" t="s">
        <v>161</v>
      </c>
      <c r="E177" s="11" t="n">
        <v>586</v>
      </c>
      <c r="F177" s="12"/>
      <c r="G177" s="12" t="n">
        <v>3189</v>
      </c>
      <c r="H177" s="1" t="str">
        <f aca="false">VLOOKUP($E177,[1]ETB!$B$66:$C$674,2,0)</f>
        <v>Trade debtors</v>
      </c>
    </row>
    <row r="178" customFormat="false" ht="15" hidden="false" customHeight="true" outlineLevel="0" collapsed="false">
      <c r="A178" s="7" t="n">
        <v>155</v>
      </c>
      <c r="B178" s="8" t="n">
        <v>45208</v>
      </c>
      <c r="C178" s="9" t="s">
        <v>13</v>
      </c>
      <c r="D178" s="10" t="s">
        <v>162</v>
      </c>
      <c r="E178" s="11" t="n">
        <v>586</v>
      </c>
      <c r="F178" s="12"/>
      <c r="G178" s="12" t="n">
        <v>2400</v>
      </c>
      <c r="H178" s="1" t="str">
        <f aca="false">VLOOKUP($E178,[1]ETB!$B$66:$C$674,2,0)</f>
        <v>Trade debtors</v>
      </c>
    </row>
    <row r="179" customFormat="false" ht="15" hidden="false" customHeight="true" outlineLevel="0" collapsed="false">
      <c r="A179" s="7" t="n">
        <v>324</v>
      </c>
      <c r="B179" s="8" t="n">
        <v>45040</v>
      </c>
      <c r="C179" s="9" t="s">
        <v>6</v>
      </c>
      <c r="D179" s="20" t="s">
        <v>163</v>
      </c>
      <c r="E179" s="11" t="n">
        <v>586</v>
      </c>
      <c r="F179" s="12"/>
      <c r="G179" s="12" t="n">
        <v>2189</v>
      </c>
      <c r="H179" s="1" t="str">
        <f aca="false">VLOOKUP($E179,[1]ETB!$B$66:$C$674,2,0)</f>
        <v>Trade debtors</v>
      </c>
    </row>
    <row r="180" customFormat="false" ht="15" hidden="false" customHeight="true" outlineLevel="0" collapsed="false">
      <c r="A180" s="7" t="n">
        <v>157</v>
      </c>
      <c r="B180" s="8" t="n">
        <v>45250</v>
      </c>
      <c r="C180" s="9" t="s">
        <v>6</v>
      </c>
      <c r="D180" s="10" t="s">
        <v>164</v>
      </c>
      <c r="E180" s="11" t="n">
        <v>586</v>
      </c>
      <c r="F180" s="12"/>
      <c r="G180" s="12" t="n">
        <v>1180</v>
      </c>
      <c r="H180" s="1" t="str">
        <f aca="false">VLOOKUP($E180,[1]ETB!$B$66:$C$674,2,0)</f>
        <v>Trade debtors</v>
      </c>
    </row>
    <row r="181" customFormat="false" ht="15" hidden="false" customHeight="true" outlineLevel="0" collapsed="false">
      <c r="A181" s="7" t="n">
        <v>20</v>
      </c>
      <c r="B181" s="8" t="n">
        <v>45012</v>
      </c>
      <c r="C181" s="9" t="s">
        <v>6</v>
      </c>
      <c r="D181" s="10" t="s">
        <v>165</v>
      </c>
      <c r="E181" s="11" t="n">
        <v>586</v>
      </c>
      <c r="F181" s="12"/>
      <c r="G181" s="12" t="n">
        <v>289</v>
      </c>
      <c r="H181" s="1" t="str">
        <f aca="false">VLOOKUP($E181,[1]ETB!$B$66:$C$674,2,0)</f>
        <v>Trade debtors</v>
      </c>
    </row>
    <row r="182" customFormat="false" ht="15" hidden="false" customHeight="true" outlineLevel="0" collapsed="false">
      <c r="A182" s="7" t="n">
        <v>192</v>
      </c>
      <c r="B182" s="8" t="n">
        <v>45012</v>
      </c>
      <c r="C182" s="9" t="s">
        <v>6</v>
      </c>
      <c r="D182" s="10" t="s">
        <v>165</v>
      </c>
      <c r="E182" s="11" t="n">
        <v>586</v>
      </c>
      <c r="F182" s="12"/>
      <c r="G182" s="12" t="n">
        <v>4700</v>
      </c>
      <c r="H182" s="1" t="str">
        <f aca="false">VLOOKUP($E182,[1]ETB!$B$66:$C$674,2,0)</f>
        <v>Trade debtors</v>
      </c>
    </row>
    <row r="183" customFormat="false" ht="15" hidden="false" customHeight="true" outlineLevel="0" collapsed="false">
      <c r="A183" s="7" t="n">
        <v>122</v>
      </c>
      <c r="B183" s="8" t="n">
        <v>44971</v>
      </c>
      <c r="C183" s="9" t="s">
        <v>6</v>
      </c>
      <c r="D183" s="10" t="s">
        <v>166</v>
      </c>
      <c r="E183" s="11" t="n">
        <v>586</v>
      </c>
      <c r="F183" s="12"/>
      <c r="G183" s="12" t="n">
        <v>200</v>
      </c>
      <c r="H183" s="1" t="str">
        <f aca="false">VLOOKUP($E183,[1]ETB!$B$66:$C$674,2,0)</f>
        <v>Trade debtors</v>
      </c>
    </row>
    <row r="184" customFormat="false" ht="15" hidden="false" customHeight="true" outlineLevel="0" collapsed="false">
      <c r="A184" s="7" t="n">
        <v>348</v>
      </c>
      <c r="B184" s="8" t="n">
        <v>45231</v>
      </c>
      <c r="C184" s="9" t="s">
        <v>6</v>
      </c>
      <c r="D184" s="10" t="s">
        <v>167</v>
      </c>
      <c r="E184" s="11" t="n">
        <v>586</v>
      </c>
      <c r="F184" s="12"/>
      <c r="G184" s="12" t="n">
        <v>289</v>
      </c>
      <c r="H184" s="1" t="str">
        <f aca="false">VLOOKUP($E184,[1]ETB!$B$66:$C$674,2,0)</f>
        <v>Trade debtors</v>
      </c>
    </row>
    <row r="185" customFormat="false" ht="15" hidden="false" customHeight="true" outlineLevel="0" collapsed="false">
      <c r="A185" s="7" t="n">
        <v>162</v>
      </c>
      <c r="B185" s="8" t="n">
        <v>45229</v>
      </c>
      <c r="C185" s="9" t="s">
        <v>6</v>
      </c>
      <c r="D185" s="10" t="s">
        <v>168</v>
      </c>
      <c r="E185" s="11" t="n">
        <v>586</v>
      </c>
      <c r="F185" s="12"/>
      <c r="G185" s="12" t="n">
        <v>2000</v>
      </c>
      <c r="H185" s="1" t="str">
        <f aca="false">VLOOKUP($E185,[1]ETB!$B$66:$C$674,2,0)</f>
        <v>Trade debtors</v>
      </c>
    </row>
    <row r="186" customFormat="false" ht="15" hidden="false" customHeight="true" outlineLevel="0" collapsed="false">
      <c r="A186" s="7" t="n">
        <v>366</v>
      </c>
      <c r="B186" s="8" t="n">
        <v>45257</v>
      </c>
      <c r="C186" s="9" t="s">
        <v>6</v>
      </c>
      <c r="D186" s="10" t="s">
        <v>169</v>
      </c>
      <c r="E186" s="11" t="n">
        <v>586</v>
      </c>
      <c r="F186" s="12"/>
      <c r="G186" s="12" t="n">
        <v>4100</v>
      </c>
      <c r="H186" s="1" t="str">
        <f aca="false">VLOOKUP($E186,[1]ETB!$B$66:$C$674,2,0)</f>
        <v>Trade debtors</v>
      </c>
    </row>
    <row r="187" customFormat="false" ht="15" hidden="false" customHeight="true" outlineLevel="0" collapsed="false">
      <c r="A187" s="7" t="n">
        <v>338</v>
      </c>
      <c r="B187" s="8" t="n">
        <v>45223</v>
      </c>
      <c r="C187" s="9" t="s">
        <v>6</v>
      </c>
      <c r="D187" s="10" t="s">
        <v>170</v>
      </c>
      <c r="E187" s="11" t="n">
        <v>586</v>
      </c>
      <c r="F187" s="12"/>
      <c r="G187" s="12" t="n">
        <v>250</v>
      </c>
      <c r="H187" s="1" t="str">
        <f aca="false">VLOOKUP($E187,[1]ETB!$B$66:$C$674,2,0)</f>
        <v>Trade debtors</v>
      </c>
    </row>
    <row r="188" customFormat="false" ht="15" hidden="false" customHeight="true" outlineLevel="0" collapsed="false">
      <c r="A188" s="7" t="n">
        <v>367</v>
      </c>
      <c r="B188" s="8" t="n">
        <v>45257</v>
      </c>
      <c r="C188" s="9" t="s">
        <v>30</v>
      </c>
      <c r="D188" s="10" t="s">
        <v>171</v>
      </c>
      <c r="E188" s="11" t="n">
        <v>586</v>
      </c>
      <c r="F188" s="12"/>
      <c r="G188" s="12" t="n">
        <v>289</v>
      </c>
      <c r="H188" s="1" t="str">
        <f aca="false">VLOOKUP($E188,[1]ETB!$B$66:$C$674,2,0)</f>
        <v>Trade debtors</v>
      </c>
    </row>
    <row r="189" customFormat="false" ht="15" hidden="false" customHeight="true" outlineLevel="0" collapsed="false">
      <c r="A189" s="7" t="n">
        <v>166</v>
      </c>
      <c r="B189" s="8" t="n">
        <v>45260</v>
      </c>
      <c r="C189" s="9" t="s">
        <v>30</v>
      </c>
      <c r="D189" s="10" t="s">
        <v>171</v>
      </c>
      <c r="E189" s="11" t="n">
        <v>586</v>
      </c>
      <c r="F189" s="12"/>
      <c r="G189" s="12" t="n">
        <v>700</v>
      </c>
      <c r="H189" s="1" t="str">
        <f aca="false">VLOOKUP($E189,[1]ETB!$B$66:$C$674,2,0)</f>
        <v>Trade debtors</v>
      </c>
    </row>
    <row r="190" customFormat="false" ht="15" hidden="false" customHeight="true" outlineLevel="0" collapsed="false">
      <c r="A190" s="7" t="n">
        <v>167</v>
      </c>
      <c r="B190" s="8" t="n">
        <v>45210</v>
      </c>
      <c r="C190" s="9" t="s">
        <v>6</v>
      </c>
      <c r="D190" s="10" t="s">
        <v>172</v>
      </c>
      <c r="E190" s="11" t="n">
        <v>586</v>
      </c>
      <c r="F190" s="12"/>
      <c r="G190" s="12" t="n">
        <v>3900</v>
      </c>
      <c r="H190" s="1" t="str">
        <f aca="false">VLOOKUP($E190,[1]ETB!$B$66:$C$674,2,0)</f>
        <v>Trade debtors</v>
      </c>
    </row>
    <row r="191" customFormat="false" ht="15" hidden="false" customHeight="true" outlineLevel="0" collapsed="false">
      <c r="A191" s="7" t="n">
        <v>11</v>
      </c>
      <c r="B191" s="8" t="n">
        <v>44932</v>
      </c>
      <c r="C191" s="9" t="s">
        <v>6</v>
      </c>
      <c r="D191" s="10" t="s">
        <v>173</v>
      </c>
      <c r="E191" s="11" t="n">
        <v>586</v>
      </c>
      <c r="F191" s="12"/>
      <c r="G191" s="12" t="n">
        <v>250</v>
      </c>
      <c r="H191" s="1" t="str">
        <f aca="false">VLOOKUP($E191,[1]ETB!$B$66:$C$674,2,0)</f>
        <v>Trade debtors</v>
      </c>
    </row>
    <row r="192" customFormat="false" ht="15" hidden="false" customHeight="true" outlineLevel="0" collapsed="false">
      <c r="A192" s="7" t="n">
        <v>169</v>
      </c>
      <c r="B192" s="8" t="n">
        <v>45257</v>
      </c>
      <c r="C192" s="9" t="s">
        <v>6</v>
      </c>
      <c r="D192" s="10" t="s">
        <v>174</v>
      </c>
      <c r="E192" s="11" t="n">
        <v>586</v>
      </c>
      <c r="F192" s="12"/>
      <c r="G192" s="12" t="n">
        <v>1800</v>
      </c>
      <c r="H192" s="1" t="str">
        <f aca="false">VLOOKUP($E192,[1]ETB!$B$66:$C$674,2,0)</f>
        <v>Trade debtors</v>
      </c>
    </row>
    <row r="193" customFormat="false" ht="15" hidden="false" customHeight="true" outlineLevel="0" collapsed="false">
      <c r="A193" s="7" t="n">
        <v>165</v>
      </c>
      <c r="B193" s="8" t="n">
        <v>45138</v>
      </c>
      <c r="C193" s="9" t="s">
        <v>6</v>
      </c>
      <c r="D193" s="10" t="s">
        <v>175</v>
      </c>
      <c r="E193" s="11" t="n">
        <v>586</v>
      </c>
      <c r="F193" s="12"/>
      <c r="G193" s="12" t="n">
        <v>1289</v>
      </c>
      <c r="H193" s="1" t="str">
        <f aca="false">VLOOKUP($E193,[1]ETB!$B$66:$C$674,2,0)</f>
        <v>Trade debtors</v>
      </c>
    </row>
    <row r="194" customFormat="false" ht="15" hidden="false" customHeight="true" outlineLevel="0" collapsed="false">
      <c r="A194" s="7" t="n">
        <v>252</v>
      </c>
      <c r="B194" s="8" t="n">
        <v>45182</v>
      </c>
      <c r="C194" s="9" t="s">
        <v>6</v>
      </c>
      <c r="D194" s="10" t="s">
        <v>176</v>
      </c>
      <c r="E194" s="11" t="n">
        <v>586</v>
      </c>
      <c r="F194" s="12"/>
      <c r="G194" s="12" t="n">
        <v>289</v>
      </c>
      <c r="H194" s="1" t="str">
        <f aca="false">VLOOKUP($E194,[1]ETB!$B$66:$C$674,2,0)</f>
        <v>Trade debtors</v>
      </c>
    </row>
    <row r="195" customFormat="false" ht="15" hidden="false" customHeight="true" outlineLevel="0" collapsed="false">
      <c r="A195" s="7" t="n">
        <v>172</v>
      </c>
      <c r="B195" s="8" t="n">
        <v>45183</v>
      </c>
      <c r="C195" s="9" t="s">
        <v>6</v>
      </c>
      <c r="D195" s="10" t="s">
        <v>176</v>
      </c>
      <c r="E195" s="11" t="n">
        <v>586</v>
      </c>
      <c r="F195" s="12"/>
      <c r="G195" s="12" t="n">
        <v>6300</v>
      </c>
      <c r="H195" s="1" t="str">
        <f aca="false">VLOOKUP($E195,[1]ETB!$B$66:$C$674,2,0)</f>
        <v>Trade debtors</v>
      </c>
    </row>
    <row r="196" customFormat="false" ht="15" hidden="false" customHeight="true" outlineLevel="0" collapsed="false">
      <c r="A196" s="7" t="n">
        <v>210</v>
      </c>
      <c r="B196" s="8" t="n">
        <v>45153</v>
      </c>
      <c r="C196" s="9" t="s">
        <v>6</v>
      </c>
      <c r="D196" s="10" t="s">
        <v>177</v>
      </c>
      <c r="E196" s="11" t="n">
        <v>586</v>
      </c>
      <c r="F196" s="12"/>
      <c r="G196" s="12" t="n">
        <v>4989</v>
      </c>
      <c r="H196" s="1" t="str">
        <f aca="false">VLOOKUP($E196,[1]ETB!$B$66:$C$674,2,0)</f>
        <v>Trade debtors</v>
      </c>
    </row>
    <row r="197" customFormat="false" ht="15" hidden="false" customHeight="true" outlineLevel="0" collapsed="false">
      <c r="A197" s="7" t="n">
        <v>188</v>
      </c>
      <c r="B197" s="8" t="n">
        <v>45250</v>
      </c>
      <c r="C197" s="9" t="s">
        <v>6</v>
      </c>
      <c r="D197" s="10" t="s">
        <v>178</v>
      </c>
      <c r="E197" s="11" t="n">
        <v>586</v>
      </c>
      <c r="F197" s="12"/>
      <c r="G197" s="12" t="n">
        <v>489</v>
      </c>
      <c r="H197" s="1" t="str">
        <f aca="false">VLOOKUP($E197,[1]ETB!$B$66:$C$674,2,0)</f>
        <v>Trade debtors</v>
      </c>
    </row>
    <row r="198" customFormat="false" ht="15" hidden="false" customHeight="true" outlineLevel="0" collapsed="false">
      <c r="A198" s="7" t="n">
        <v>260</v>
      </c>
      <c r="B198" s="8" t="n">
        <v>45257</v>
      </c>
      <c r="C198" s="9" t="s">
        <v>6</v>
      </c>
      <c r="D198" s="10" t="s">
        <v>178</v>
      </c>
      <c r="E198" s="11" t="n">
        <v>586</v>
      </c>
      <c r="F198" s="19"/>
      <c r="G198" s="12" t="n">
        <v>3500</v>
      </c>
      <c r="H198" s="1" t="str">
        <f aca="false">VLOOKUP($E198,[1]ETB!$B$66:$C$674,2,0)</f>
        <v>Trade debtors</v>
      </c>
    </row>
    <row r="199" customFormat="false" ht="15" hidden="false" customHeight="true" outlineLevel="0" collapsed="false">
      <c r="A199" s="7" t="n">
        <v>132</v>
      </c>
      <c r="B199" s="8" t="n">
        <v>44971</v>
      </c>
      <c r="C199" s="9" t="s">
        <v>6</v>
      </c>
      <c r="D199" s="10" t="s">
        <v>179</v>
      </c>
      <c r="E199" s="11" t="n">
        <v>586</v>
      </c>
      <c r="F199" s="12"/>
      <c r="G199" s="12" t="n">
        <v>1450</v>
      </c>
      <c r="H199" s="1" t="str">
        <f aca="false">VLOOKUP($E199,[1]ETB!$B$66:$C$674,2,0)</f>
        <v>Trade debtors</v>
      </c>
    </row>
    <row r="200" customFormat="false" ht="15" hidden="false" customHeight="true" outlineLevel="0" collapsed="false">
      <c r="A200" s="7" t="n">
        <v>299</v>
      </c>
      <c r="B200" s="8" t="n">
        <v>45012</v>
      </c>
      <c r="C200" s="9" t="s">
        <v>6</v>
      </c>
      <c r="D200" s="10" t="s">
        <v>180</v>
      </c>
      <c r="E200" s="11" t="n">
        <v>586</v>
      </c>
      <c r="F200" s="12"/>
      <c r="G200" s="12" t="n">
        <v>250</v>
      </c>
      <c r="H200" s="1" t="str">
        <f aca="false">VLOOKUP($E200,[1]ETB!$B$66:$C$674,2,0)</f>
        <v>Trade debtors</v>
      </c>
    </row>
    <row r="201" customFormat="false" ht="15" hidden="false" customHeight="true" outlineLevel="0" collapsed="false">
      <c r="A201" s="7" t="n">
        <v>215</v>
      </c>
      <c r="B201" s="8" t="n">
        <v>44984</v>
      </c>
      <c r="C201" s="9" t="s">
        <v>6</v>
      </c>
      <c r="D201" s="10" t="s">
        <v>181</v>
      </c>
      <c r="E201" s="11" t="n">
        <v>586</v>
      </c>
      <c r="F201" s="12"/>
      <c r="G201" s="12" t="n">
        <v>1850</v>
      </c>
      <c r="H201" s="1" t="str">
        <f aca="false">VLOOKUP($E201,[1]ETB!$B$66:$C$674,2,0)</f>
        <v>Trade debtors</v>
      </c>
    </row>
    <row r="202" customFormat="false" ht="15" hidden="false" customHeight="true" outlineLevel="0" collapsed="false">
      <c r="A202" s="7" t="n">
        <v>135</v>
      </c>
      <c r="B202" s="8" t="n">
        <v>44999</v>
      </c>
      <c r="C202" s="9" t="s">
        <v>30</v>
      </c>
      <c r="D202" s="10" t="s">
        <v>182</v>
      </c>
      <c r="E202" s="11" t="n">
        <v>586</v>
      </c>
      <c r="F202" s="12"/>
      <c r="G202" s="12" t="n">
        <v>250</v>
      </c>
      <c r="H202" s="1" t="str">
        <f aca="false">VLOOKUP($E202,[1]ETB!$B$66:$C$674,2,0)</f>
        <v>Trade debtors</v>
      </c>
    </row>
    <row r="203" customFormat="false" ht="15" hidden="false" customHeight="true" outlineLevel="0" collapsed="false">
      <c r="A203" s="7" t="n">
        <v>148</v>
      </c>
      <c r="B203" s="8" t="n">
        <v>45001</v>
      </c>
      <c r="C203" s="9" t="s">
        <v>30</v>
      </c>
      <c r="D203" s="10" t="s">
        <v>182</v>
      </c>
      <c r="E203" s="11" t="n">
        <v>586</v>
      </c>
      <c r="F203" s="12"/>
      <c r="G203" s="12" t="n">
        <v>1650</v>
      </c>
      <c r="H203" s="1" t="str">
        <f aca="false">VLOOKUP($E203,[1]ETB!$B$66:$C$674,2,0)</f>
        <v>Trade debtors</v>
      </c>
    </row>
    <row r="204" customFormat="false" ht="15" hidden="false" customHeight="true" outlineLevel="0" collapsed="false">
      <c r="A204" s="7" t="n">
        <v>181</v>
      </c>
      <c r="B204" s="8" t="n">
        <v>45197</v>
      </c>
      <c r="C204" s="9" t="s">
        <v>30</v>
      </c>
      <c r="D204" s="10" t="s">
        <v>183</v>
      </c>
      <c r="E204" s="11" t="n">
        <v>586</v>
      </c>
      <c r="F204" s="12"/>
      <c r="G204" s="12" t="n">
        <v>1189</v>
      </c>
      <c r="H204" s="1" t="str">
        <f aca="false">VLOOKUP($E204,[1]ETB!$B$66:$C$674,2,0)</f>
        <v>Trade debtors</v>
      </c>
    </row>
    <row r="205" customFormat="false" ht="15" hidden="false" customHeight="true" outlineLevel="0" collapsed="false">
      <c r="A205" s="7" t="n">
        <v>182</v>
      </c>
      <c r="B205" s="8" t="n">
        <v>45187</v>
      </c>
      <c r="C205" s="9" t="s">
        <v>6</v>
      </c>
      <c r="D205" s="10" t="s">
        <v>184</v>
      </c>
      <c r="E205" s="11" t="n">
        <v>586</v>
      </c>
      <c r="F205" s="12"/>
      <c r="G205" s="12" t="n">
        <v>4489</v>
      </c>
      <c r="H205" s="1" t="str">
        <f aca="false">VLOOKUP($E205,[1]ETB!$B$66:$C$674,2,0)</f>
        <v>Trade debtors</v>
      </c>
    </row>
    <row r="206" customFormat="false" ht="15" hidden="false" customHeight="true" outlineLevel="0" collapsed="false">
      <c r="A206" s="7" t="n">
        <v>183</v>
      </c>
      <c r="B206" s="8" t="n">
        <v>45223</v>
      </c>
      <c r="C206" s="9" t="s">
        <v>30</v>
      </c>
      <c r="D206" s="10" t="s">
        <v>185</v>
      </c>
      <c r="E206" s="11" t="n">
        <v>586</v>
      </c>
      <c r="F206" s="12"/>
      <c r="G206" s="12" t="n">
        <v>1700</v>
      </c>
      <c r="H206" s="1" t="str">
        <f aca="false">VLOOKUP($E206,[1]ETB!$B$66:$C$674,2,0)</f>
        <v>Trade debtors</v>
      </c>
    </row>
    <row r="207" customFormat="false" ht="15" hidden="false" customHeight="true" outlineLevel="0" collapsed="false">
      <c r="A207" s="7" t="n">
        <v>110</v>
      </c>
      <c r="B207" s="8" t="n">
        <v>45001</v>
      </c>
      <c r="C207" s="9" t="s">
        <v>30</v>
      </c>
      <c r="D207" s="10" t="s">
        <v>186</v>
      </c>
      <c r="E207" s="11" t="n">
        <v>586</v>
      </c>
      <c r="F207" s="12"/>
      <c r="G207" s="12" t="n">
        <v>1989</v>
      </c>
      <c r="H207" s="1" t="str">
        <f aca="false">VLOOKUP($E207,[1]ETB!$B$66:$C$674,2,0)</f>
        <v>Trade debtors</v>
      </c>
    </row>
    <row r="208" customFormat="false" ht="15" hidden="false" customHeight="true" outlineLevel="0" collapsed="false">
      <c r="A208" s="7" t="n">
        <v>2</v>
      </c>
      <c r="B208" s="8" t="n">
        <v>45078</v>
      </c>
      <c r="C208" s="9" t="s">
        <v>6</v>
      </c>
      <c r="D208" s="10" t="s">
        <v>187</v>
      </c>
      <c r="E208" s="11" t="n">
        <v>586</v>
      </c>
      <c r="F208" s="12"/>
      <c r="G208" s="12" t="n">
        <v>250</v>
      </c>
      <c r="H208" s="1" t="str">
        <f aca="false">VLOOKUP($E208,[1]ETB!$B$66:$C$674,2,0)</f>
        <v>Trade debtors</v>
      </c>
    </row>
    <row r="209" customFormat="false" ht="15" hidden="false" customHeight="true" outlineLevel="0" collapsed="false">
      <c r="A209" s="7" t="n">
        <v>61</v>
      </c>
      <c r="B209" s="8" t="n">
        <v>45082</v>
      </c>
      <c r="C209" s="9" t="s">
        <v>6</v>
      </c>
      <c r="D209" s="10" t="s">
        <v>187</v>
      </c>
      <c r="E209" s="11" t="n">
        <v>586</v>
      </c>
      <c r="F209" s="12"/>
      <c r="G209" s="12" t="n">
        <v>1650</v>
      </c>
      <c r="H209" s="1" t="str">
        <f aca="false">VLOOKUP($E209,[1]ETB!$B$66:$C$674,2,0)</f>
        <v>Trade debtors</v>
      </c>
    </row>
    <row r="210" customFormat="false" ht="15" hidden="false" customHeight="true" outlineLevel="0" collapsed="false">
      <c r="A210" s="7" t="n">
        <v>25</v>
      </c>
      <c r="B210" s="8" t="n">
        <v>44963</v>
      </c>
      <c r="C210" s="9" t="s">
        <v>6</v>
      </c>
      <c r="D210" s="10" t="s">
        <v>188</v>
      </c>
      <c r="E210" s="11" t="n">
        <v>586</v>
      </c>
      <c r="F210" s="12"/>
      <c r="G210" s="12" t="n">
        <v>4100</v>
      </c>
      <c r="H210" s="1" t="str">
        <f aca="false">VLOOKUP($E210,[1]ETB!$B$66:$C$674,2,0)</f>
        <v>Trade debtors</v>
      </c>
    </row>
    <row r="211" customFormat="false" ht="15" hidden="false" customHeight="true" outlineLevel="0" collapsed="false">
      <c r="A211" s="7" t="n">
        <v>189</v>
      </c>
      <c r="B211" s="8" t="n">
        <v>45251</v>
      </c>
      <c r="C211" s="9" t="s">
        <v>6</v>
      </c>
      <c r="D211" s="10" t="s">
        <v>189</v>
      </c>
      <c r="E211" s="11" t="n">
        <v>586</v>
      </c>
      <c r="F211" s="12"/>
      <c r="G211" s="12" t="n">
        <v>500</v>
      </c>
      <c r="H211" s="1" t="str">
        <f aca="false">VLOOKUP($E211,[1]ETB!$B$66:$C$674,2,0)</f>
        <v>Trade debtors</v>
      </c>
    </row>
    <row r="212" customFormat="false" ht="15" hidden="false" customHeight="true" outlineLevel="0" collapsed="false">
      <c r="A212" s="7" t="n">
        <v>211</v>
      </c>
      <c r="B212" s="8" t="n">
        <v>45252</v>
      </c>
      <c r="C212" s="9" t="s">
        <v>6</v>
      </c>
      <c r="D212" s="10" t="s">
        <v>189</v>
      </c>
      <c r="E212" s="11" t="n">
        <v>586</v>
      </c>
      <c r="F212" s="12"/>
      <c r="G212" s="12" t="n">
        <v>2250</v>
      </c>
      <c r="H212" s="1" t="str">
        <f aca="false">VLOOKUP($E212,[1]ETB!$B$66:$C$674,2,0)</f>
        <v>Trade debtors</v>
      </c>
    </row>
    <row r="213" customFormat="false" ht="15" hidden="false" customHeight="true" outlineLevel="0" collapsed="false">
      <c r="A213" s="7" t="n">
        <v>190</v>
      </c>
      <c r="B213" s="8" t="n">
        <v>45077</v>
      </c>
      <c r="C213" s="9" t="s">
        <v>6</v>
      </c>
      <c r="D213" s="10" t="s">
        <v>190</v>
      </c>
      <c r="E213" s="11" t="n">
        <v>586</v>
      </c>
      <c r="F213" s="12"/>
      <c r="G213" s="12" t="n">
        <v>250</v>
      </c>
      <c r="H213" s="1" t="str">
        <f aca="false">VLOOKUP($E213,[1]ETB!$B$66:$C$674,2,0)</f>
        <v>Trade debtors</v>
      </c>
    </row>
    <row r="214" customFormat="false" ht="15" hidden="false" customHeight="true" outlineLevel="0" collapsed="false">
      <c r="A214" s="7" t="n">
        <v>88</v>
      </c>
      <c r="B214" s="8" t="n">
        <v>45085</v>
      </c>
      <c r="C214" s="9" t="s">
        <v>6</v>
      </c>
      <c r="D214" s="10" t="s">
        <v>190</v>
      </c>
      <c r="E214" s="11" t="n">
        <v>586</v>
      </c>
      <c r="F214" s="12"/>
      <c r="G214" s="12" t="n">
        <v>4050</v>
      </c>
      <c r="H214" s="1" t="str">
        <f aca="false">VLOOKUP($E214,[1]ETB!$B$66:$C$674,2,0)</f>
        <v>Trade debtors</v>
      </c>
    </row>
    <row r="215" customFormat="false" ht="15" hidden="false" customHeight="true" outlineLevel="0" collapsed="false">
      <c r="A215" s="7" t="n">
        <v>198</v>
      </c>
      <c r="B215" s="8" t="n">
        <v>45229</v>
      </c>
      <c r="C215" s="9" t="s">
        <v>6</v>
      </c>
      <c r="D215" s="20" t="s">
        <v>191</v>
      </c>
      <c r="E215" s="11" t="n">
        <v>586</v>
      </c>
      <c r="F215" s="12"/>
      <c r="G215" s="12" t="n">
        <v>6300</v>
      </c>
      <c r="H215" s="1" t="str">
        <f aca="false">VLOOKUP($E215,[1]ETB!$B$66:$C$674,2,0)</f>
        <v>Trade debtors</v>
      </c>
    </row>
    <row r="216" customFormat="false" ht="15" hidden="false" customHeight="true" outlineLevel="0" collapsed="false">
      <c r="A216" s="7" t="n">
        <v>199</v>
      </c>
      <c r="B216" s="8" t="n">
        <v>45230</v>
      </c>
      <c r="C216" s="9" t="s">
        <v>6</v>
      </c>
      <c r="D216" s="10" t="s">
        <v>191</v>
      </c>
      <c r="E216" s="11" t="n">
        <v>586</v>
      </c>
      <c r="F216" s="12"/>
      <c r="G216" s="12" t="n">
        <v>50</v>
      </c>
      <c r="H216" s="1" t="str">
        <f aca="false">VLOOKUP($E216,[1]ETB!$B$66:$C$674,2,0)</f>
        <v>Trade debtors</v>
      </c>
    </row>
    <row r="217" customFormat="false" ht="15" hidden="false" customHeight="true" outlineLevel="0" collapsed="false">
      <c r="A217" s="7" t="n">
        <v>73</v>
      </c>
      <c r="B217" s="8" t="n">
        <v>44939</v>
      </c>
      <c r="C217" s="9" t="s">
        <v>6</v>
      </c>
      <c r="D217" s="10" t="s">
        <v>192</v>
      </c>
      <c r="E217" s="11" t="n">
        <v>586</v>
      </c>
      <c r="F217" s="12"/>
      <c r="G217" s="12" t="n">
        <v>489</v>
      </c>
      <c r="H217" s="1" t="str">
        <f aca="false">VLOOKUP($E217,[1]ETB!$B$66:$C$674,2,0)</f>
        <v>Trade debtors</v>
      </c>
    </row>
    <row r="218" customFormat="false" ht="15" hidden="false" customHeight="true" outlineLevel="0" collapsed="false">
      <c r="A218" s="7" t="n">
        <v>168</v>
      </c>
      <c r="B218" s="8" t="n">
        <v>44945</v>
      </c>
      <c r="C218" s="9" t="s">
        <v>6</v>
      </c>
      <c r="D218" s="10" t="s">
        <v>192</v>
      </c>
      <c r="E218" s="11" t="n">
        <v>586</v>
      </c>
      <c r="F218" s="12"/>
      <c r="G218" s="12" t="n">
        <v>1500</v>
      </c>
      <c r="H218" s="1" t="str">
        <f aca="false">VLOOKUP($E218,[1]ETB!$B$66:$C$674,2,0)</f>
        <v>Trade debtors</v>
      </c>
    </row>
    <row r="219" customFormat="false" ht="15" hidden="false" customHeight="true" outlineLevel="0" collapsed="false">
      <c r="A219" s="7" t="n">
        <v>179</v>
      </c>
      <c r="B219" s="8" t="n">
        <v>45008</v>
      </c>
      <c r="C219" s="9" t="s">
        <v>6</v>
      </c>
      <c r="D219" s="10" t="s">
        <v>193</v>
      </c>
      <c r="E219" s="11" t="n">
        <v>586</v>
      </c>
      <c r="F219" s="12"/>
      <c r="G219" s="12" t="n">
        <v>100</v>
      </c>
      <c r="H219" s="1" t="str">
        <f aca="false">VLOOKUP($E219,[1]ETB!$B$66:$C$674,2,0)</f>
        <v>Trade debtors</v>
      </c>
    </row>
    <row r="220" customFormat="false" ht="15" hidden="false" customHeight="true" outlineLevel="0" collapsed="false">
      <c r="A220" s="7" t="n">
        <v>85</v>
      </c>
      <c r="B220" s="8" t="n">
        <v>45140</v>
      </c>
      <c r="C220" s="9" t="s">
        <v>6</v>
      </c>
      <c r="D220" s="10" t="s">
        <v>194</v>
      </c>
      <c r="E220" s="11" t="n">
        <v>586</v>
      </c>
      <c r="F220" s="12"/>
      <c r="G220" s="12" t="n">
        <v>1800</v>
      </c>
      <c r="H220" s="1" t="str">
        <f aca="false">VLOOKUP($E220,[1]ETB!$B$66:$C$674,2,0)</f>
        <v>Trade debtors</v>
      </c>
    </row>
    <row r="221" customFormat="false" ht="15" hidden="false" customHeight="true" outlineLevel="0" collapsed="false">
      <c r="A221" s="7" t="n">
        <v>204</v>
      </c>
      <c r="B221" s="8" t="n">
        <v>44980</v>
      </c>
      <c r="C221" s="9" t="s">
        <v>6</v>
      </c>
      <c r="D221" s="10" t="s">
        <v>195</v>
      </c>
      <c r="E221" s="11" t="n">
        <v>586</v>
      </c>
      <c r="F221" s="12"/>
      <c r="G221" s="12" t="n">
        <v>250</v>
      </c>
      <c r="H221" s="1" t="str">
        <f aca="false">VLOOKUP($E221,[1]ETB!$B$66:$C$674,2,0)</f>
        <v>Trade debtors</v>
      </c>
    </row>
    <row r="222" customFormat="false" ht="15" hidden="false" customHeight="true" outlineLevel="0" collapsed="false">
      <c r="A222" s="7" t="n">
        <v>206</v>
      </c>
      <c r="B222" s="8" t="n">
        <v>45120</v>
      </c>
      <c r="C222" s="9" t="s">
        <v>6</v>
      </c>
      <c r="D222" s="10" t="s">
        <v>196</v>
      </c>
      <c r="E222" s="11" t="n">
        <v>586</v>
      </c>
      <c r="F222" s="12"/>
      <c r="G222" s="12" t="n">
        <v>290</v>
      </c>
      <c r="H222" s="1" t="str">
        <f aca="false">VLOOKUP($E222,[1]ETB!$B$66:$C$674,2,0)</f>
        <v>Trade debtors</v>
      </c>
    </row>
    <row r="223" customFormat="false" ht="15" hidden="false" customHeight="true" outlineLevel="0" collapsed="false">
      <c r="A223" s="7" t="n">
        <v>207</v>
      </c>
      <c r="B223" s="8" t="n">
        <v>45124</v>
      </c>
      <c r="C223" s="9" t="s">
        <v>6</v>
      </c>
      <c r="D223" s="10" t="s">
        <v>196</v>
      </c>
      <c r="E223" s="11" t="n">
        <v>586</v>
      </c>
      <c r="F223" s="12"/>
      <c r="G223" s="12" t="n">
        <v>2510</v>
      </c>
      <c r="H223" s="1" t="str">
        <f aca="false">VLOOKUP($E223,[1]ETB!$B$66:$C$674,2,0)</f>
        <v>Trade debtors</v>
      </c>
    </row>
    <row r="224" customFormat="false" ht="15" hidden="false" customHeight="true" outlineLevel="0" collapsed="false">
      <c r="A224" s="7" t="n">
        <v>102</v>
      </c>
      <c r="B224" s="8" t="n">
        <v>45091</v>
      </c>
      <c r="C224" s="9" t="s">
        <v>6</v>
      </c>
      <c r="D224" s="10" t="s">
        <v>197</v>
      </c>
      <c r="E224" s="11" t="n">
        <v>586</v>
      </c>
      <c r="F224" s="12"/>
      <c r="G224" s="12" t="n">
        <v>289</v>
      </c>
      <c r="H224" s="1" t="str">
        <f aca="false">VLOOKUP($E224,[1]ETB!$B$66:$C$674,2,0)</f>
        <v>Trade debtors</v>
      </c>
    </row>
    <row r="225" customFormat="false" ht="15" hidden="false" customHeight="true" outlineLevel="0" collapsed="false">
      <c r="A225" s="7" t="n">
        <v>233</v>
      </c>
      <c r="B225" s="8" t="n">
        <v>45093</v>
      </c>
      <c r="C225" s="9" t="s">
        <v>6</v>
      </c>
      <c r="D225" s="10" t="s">
        <v>197</v>
      </c>
      <c r="E225" s="11" t="n">
        <v>586</v>
      </c>
      <c r="F225" s="12"/>
      <c r="G225" s="12" t="n">
        <v>2800</v>
      </c>
      <c r="H225" s="1" t="str">
        <f aca="false">VLOOKUP($E225,[1]ETB!$B$66:$C$674,2,0)</f>
        <v>Trade debtors</v>
      </c>
    </row>
    <row r="226" customFormat="false" ht="15" hidden="false" customHeight="true" outlineLevel="0" collapsed="false">
      <c r="A226" s="7" t="n">
        <v>27</v>
      </c>
      <c r="B226" s="8" t="n">
        <v>44900</v>
      </c>
      <c r="C226" s="9" t="s">
        <v>6</v>
      </c>
      <c r="D226" s="10" t="s">
        <v>198</v>
      </c>
      <c r="E226" s="11" t="n">
        <v>586</v>
      </c>
      <c r="F226" s="12"/>
      <c r="G226" s="12" t="n">
        <v>1400</v>
      </c>
      <c r="H226" s="1" t="str">
        <f aca="false">VLOOKUP($E226,[1]ETB!$B$66:$C$674,2,0)</f>
        <v>Trade debtors</v>
      </c>
    </row>
    <row r="227" customFormat="false" ht="15" hidden="false" customHeight="true" outlineLevel="0" collapsed="false">
      <c r="A227" s="7" t="n">
        <v>49</v>
      </c>
      <c r="B227" s="8" t="n">
        <v>44900</v>
      </c>
      <c r="C227" s="9" t="s">
        <v>6</v>
      </c>
      <c r="D227" s="10" t="s">
        <v>199</v>
      </c>
      <c r="E227" s="11" t="n">
        <v>586</v>
      </c>
      <c r="F227" s="12"/>
      <c r="G227" s="12" t="n">
        <v>2500</v>
      </c>
      <c r="H227" s="1" t="str">
        <f aca="false">VLOOKUP($E227,[1]ETB!$B$66:$C$674,2,0)</f>
        <v>Trade debtors</v>
      </c>
    </row>
    <row r="228" customFormat="false" ht="15" hidden="false" customHeight="true" outlineLevel="0" collapsed="false">
      <c r="A228" s="7" t="n">
        <v>15</v>
      </c>
      <c r="B228" s="8" t="n">
        <v>44984</v>
      </c>
      <c r="C228" s="9" t="s">
        <v>6</v>
      </c>
      <c r="D228" s="10" t="s">
        <v>200</v>
      </c>
      <c r="E228" s="11" t="n">
        <v>586</v>
      </c>
      <c r="F228" s="12"/>
      <c r="G228" s="12" t="n">
        <v>250</v>
      </c>
      <c r="H228" s="1" t="str">
        <f aca="false">VLOOKUP($E228,[1]ETB!$B$66:$C$674,2,0)</f>
        <v>Trade debtors</v>
      </c>
    </row>
    <row r="229" customFormat="false" ht="15" hidden="false" customHeight="true" outlineLevel="0" collapsed="false">
      <c r="A229" s="7" t="n">
        <v>16</v>
      </c>
      <c r="B229" s="8" t="n">
        <v>44984</v>
      </c>
      <c r="C229" s="9" t="s">
        <v>6</v>
      </c>
      <c r="D229" s="10" t="s">
        <v>200</v>
      </c>
      <c r="E229" s="11" t="n">
        <v>586</v>
      </c>
      <c r="F229" s="12"/>
      <c r="G229" s="12" t="n">
        <v>2439</v>
      </c>
      <c r="H229" s="1" t="str">
        <f aca="false">VLOOKUP($E229,[1]ETB!$B$66:$C$674,2,0)</f>
        <v>Trade debtors</v>
      </c>
    </row>
    <row r="230" customFormat="false" ht="15" hidden="false" customHeight="true" outlineLevel="0" collapsed="false">
      <c r="A230" s="7" t="n">
        <v>216</v>
      </c>
      <c r="B230" s="8" t="n">
        <v>45211</v>
      </c>
      <c r="C230" s="9" t="s">
        <v>30</v>
      </c>
      <c r="D230" s="10" t="s">
        <v>201</v>
      </c>
      <c r="E230" s="11" t="n">
        <v>586</v>
      </c>
      <c r="F230" s="12"/>
      <c r="G230" s="12" t="n">
        <v>200</v>
      </c>
      <c r="H230" s="1" t="str">
        <f aca="false">VLOOKUP($E230,[1]ETB!$B$66:$C$674,2,0)</f>
        <v>Trade debtors</v>
      </c>
    </row>
    <row r="231" customFormat="false" ht="15" hidden="false" customHeight="true" outlineLevel="0" collapsed="false">
      <c r="A231" s="7" t="n">
        <v>217</v>
      </c>
      <c r="B231" s="8" t="n">
        <v>45211</v>
      </c>
      <c r="C231" s="9" t="s">
        <v>30</v>
      </c>
      <c r="D231" s="10" t="s">
        <v>201</v>
      </c>
      <c r="E231" s="11" t="n">
        <v>586</v>
      </c>
      <c r="F231" s="12"/>
      <c r="G231" s="12" t="n">
        <v>300</v>
      </c>
      <c r="H231" s="1" t="str">
        <f aca="false">VLOOKUP($E231,[1]ETB!$B$66:$C$674,2,0)</f>
        <v>Trade debtors</v>
      </c>
    </row>
    <row r="232" customFormat="false" ht="15" hidden="false" customHeight="true" outlineLevel="0" collapsed="false">
      <c r="A232" s="7" t="n">
        <v>218</v>
      </c>
      <c r="B232" s="8" t="n">
        <v>45216</v>
      </c>
      <c r="C232" s="9" t="s">
        <v>30</v>
      </c>
      <c r="D232" s="10" t="s">
        <v>201</v>
      </c>
      <c r="E232" s="11" t="n">
        <v>586</v>
      </c>
      <c r="F232" s="12"/>
      <c r="G232" s="12" t="n">
        <v>10000</v>
      </c>
      <c r="H232" s="1" t="str">
        <f aca="false">VLOOKUP($E232,[1]ETB!$B$66:$C$674,2,0)</f>
        <v>Trade debtors</v>
      </c>
    </row>
    <row r="233" customFormat="false" ht="15" hidden="false" customHeight="true" outlineLevel="0" collapsed="false">
      <c r="A233" s="7" t="n">
        <v>219</v>
      </c>
      <c r="B233" s="8" t="n">
        <v>45005</v>
      </c>
      <c r="C233" s="9" t="s">
        <v>30</v>
      </c>
      <c r="D233" s="10" t="s">
        <v>202</v>
      </c>
      <c r="E233" s="11" t="n">
        <v>586</v>
      </c>
      <c r="F233" s="19"/>
      <c r="G233" s="12" t="n">
        <v>1600</v>
      </c>
      <c r="H233" s="1" t="str">
        <f aca="false">VLOOKUP($E233,[1]ETB!$B$66:$C$674,2,0)</f>
        <v>Trade debtors</v>
      </c>
    </row>
    <row r="234" customFormat="false" ht="15" hidden="false" customHeight="true" outlineLevel="0" collapsed="false">
      <c r="A234" s="7" t="n">
        <v>345</v>
      </c>
      <c r="B234" s="8" t="n">
        <v>45224</v>
      </c>
      <c r="C234" s="9" t="s">
        <v>6</v>
      </c>
      <c r="D234" s="20" t="s">
        <v>203</v>
      </c>
      <c r="E234" s="11" t="n">
        <v>586</v>
      </c>
      <c r="F234" s="12"/>
      <c r="G234" s="12" t="n">
        <v>289</v>
      </c>
      <c r="H234" s="1" t="str">
        <f aca="false">VLOOKUP($E234,[1]ETB!$B$66:$C$674,2,0)</f>
        <v>Trade debtors</v>
      </c>
    </row>
    <row r="235" customFormat="false" ht="15" hidden="false" customHeight="true" outlineLevel="0" collapsed="false">
      <c r="A235" s="7" t="n">
        <v>221</v>
      </c>
      <c r="B235" s="8" t="n">
        <v>45226</v>
      </c>
      <c r="C235" s="9" t="s">
        <v>6</v>
      </c>
      <c r="D235" s="10" t="s">
        <v>203</v>
      </c>
      <c r="E235" s="11" t="n">
        <v>586</v>
      </c>
      <c r="F235" s="12"/>
      <c r="G235" s="12" t="n">
        <v>2200</v>
      </c>
      <c r="H235" s="1" t="str">
        <f aca="false">VLOOKUP($E235,[1]ETB!$B$66:$C$674,2,0)</f>
        <v>Trade debtors</v>
      </c>
    </row>
    <row r="236" customFormat="false" ht="15" hidden="false" customHeight="true" outlineLevel="0" collapsed="false">
      <c r="A236" s="7" t="n">
        <v>191</v>
      </c>
      <c r="B236" s="8" t="n">
        <v>45089</v>
      </c>
      <c r="C236" s="9" t="s">
        <v>6</v>
      </c>
      <c r="D236" s="10" t="s">
        <v>204</v>
      </c>
      <c r="E236" s="11" t="n">
        <v>586</v>
      </c>
      <c r="F236" s="12"/>
      <c r="G236" s="12" t="n">
        <v>2939</v>
      </c>
      <c r="H236" s="1" t="str">
        <f aca="false">VLOOKUP($E236,[1]ETB!$B$66:$C$674,2,0)</f>
        <v>Trade debtors</v>
      </c>
    </row>
    <row r="237" customFormat="false" ht="15" hidden="false" customHeight="true" outlineLevel="0" collapsed="false">
      <c r="A237" s="7" t="n">
        <v>79</v>
      </c>
      <c r="B237" s="8" t="n">
        <v>45083</v>
      </c>
      <c r="C237" s="9" t="s">
        <v>6</v>
      </c>
      <c r="D237" s="10" t="s">
        <v>205</v>
      </c>
      <c r="E237" s="11" t="n">
        <v>586</v>
      </c>
      <c r="F237" s="12"/>
      <c r="G237" s="12" t="n">
        <v>250</v>
      </c>
      <c r="H237" s="1" t="str">
        <f aca="false">VLOOKUP($E237,[1]ETB!$B$66:$C$674,2,0)</f>
        <v>Trade debtors</v>
      </c>
    </row>
    <row r="238" customFormat="false" ht="15" hidden="false" customHeight="true" outlineLevel="0" collapsed="false">
      <c r="A238" s="7" t="n">
        <v>294</v>
      </c>
      <c r="B238" s="8" t="n">
        <v>44953</v>
      </c>
      <c r="C238" s="9" t="s">
        <v>30</v>
      </c>
      <c r="D238" s="10" t="s">
        <v>206</v>
      </c>
      <c r="E238" s="11" t="n">
        <v>586</v>
      </c>
      <c r="F238" s="12"/>
      <c r="G238" s="12" t="n">
        <v>489</v>
      </c>
      <c r="H238" s="1" t="str">
        <f aca="false">VLOOKUP($E238,[1]ETB!$B$66:$C$674,2,0)</f>
        <v>Trade debtors</v>
      </c>
    </row>
    <row r="239" customFormat="false" ht="15" hidden="false" customHeight="true" outlineLevel="0" collapsed="false">
      <c r="A239" s="7" t="n">
        <v>334</v>
      </c>
      <c r="B239" s="8" t="n">
        <v>44956</v>
      </c>
      <c r="C239" s="9" t="s">
        <v>30</v>
      </c>
      <c r="D239" s="10" t="s">
        <v>206</v>
      </c>
      <c r="E239" s="11" t="n">
        <v>586</v>
      </c>
      <c r="F239" s="12"/>
      <c r="G239" s="12" t="n">
        <v>2011</v>
      </c>
      <c r="H239" s="1" t="str">
        <f aca="false">VLOOKUP($E239,[1]ETB!$B$66:$C$674,2,0)</f>
        <v>Trade debtors</v>
      </c>
    </row>
    <row r="240" customFormat="false" ht="15" hidden="false" customHeight="true" outlineLevel="0" collapsed="false">
      <c r="A240" s="7" t="n">
        <v>228</v>
      </c>
      <c r="B240" s="8" t="n">
        <v>45155</v>
      </c>
      <c r="C240" s="9" t="s">
        <v>6</v>
      </c>
      <c r="D240" s="10" t="s">
        <v>207</v>
      </c>
      <c r="E240" s="11" t="n">
        <v>586</v>
      </c>
      <c r="F240" s="12"/>
      <c r="G240" s="12" t="n">
        <v>2489</v>
      </c>
      <c r="H240" s="1" t="str">
        <f aca="false">VLOOKUP($E240,[1]ETB!$B$66:$C$674,2,0)</f>
        <v>Trade debtors</v>
      </c>
    </row>
    <row r="241" customFormat="false" ht="15" hidden="false" customHeight="true" outlineLevel="0" collapsed="false">
      <c r="A241" s="7" t="n">
        <v>145</v>
      </c>
      <c r="B241" s="8" t="n">
        <v>45012</v>
      </c>
      <c r="C241" s="9" t="s">
        <v>6</v>
      </c>
      <c r="D241" s="10" t="s">
        <v>208</v>
      </c>
      <c r="E241" s="11" t="n">
        <v>586</v>
      </c>
      <c r="F241" s="12"/>
      <c r="G241" s="12" t="n">
        <v>1989</v>
      </c>
      <c r="H241" s="1" t="str">
        <f aca="false">VLOOKUP($E241,[1]ETB!$B$66:$C$674,2,0)</f>
        <v>Trade debtors</v>
      </c>
    </row>
    <row r="242" customFormat="false" ht="15" hidden="false" customHeight="true" outlineLevel="0" collapsed="false">
      <c r="A242" s="7" t="n">
        <v>227</v>
      </c>
      <c r="B242" s="8" t="n">
        <v>45124</v>
      </c>
      <c r="C242" s="9" t="s">
        <v>30</v>
      </c>
      <c r="D242" s="10" t="s">
        <v>209</v>
      </c>
      <c r="E242" s="11" t="n">
        <v>586</v>
      </c>
      <c r="F242" s="12"/>
      <c r="G242" s="12" t="n">
        <v>4200</v>
      </c>
      <c r="H242" s="1" t="str">
        <f aca="false">VLOOKUP($E242,[1]ETB!$B$66:$C$674,2,0)</f>
        <v>Trade debtors</v>
      </c>
    </row>
    <row r="243" customFormat="false" ht="15" hidden="false" customHeight="true" outlineLevel="0" collapsed="false">
      <c r="A243" s="7" t="n">
        <v>356</v>
      </c>
      <c r="B243" s="8" t="n">
        <v>45243</v>
      </c>
      <c r="C243" s="9" t="s">
        <v>6</v>
      </c>
      <c r="D243" s="10" t="s">
        <v>210</v>
      </c>
      <c r="E243" s="11" t="n">
        <v>586</v>
      </c>
      <c r="F243" s="12"/>
      <c r="G243" s="12" t="n">
        <v>2600</v>
      </c>
      <c r="H243" s="1" t="str">
        <f aca="false">VLOOKUP($E243,[1]ETB!$B$66:$C$674,2,0)</f>
        <v>Trade debtors</v>
      </c>
    </row>
    <row r="244" customFormat="false" ht="15" hidden="false" customHeight="true" outlineLevel="0" collapsed="false">
      <c r="A244" s="7" t="n">
        <v>351</v>
      </c>
      <c r="B244" s="8" t="n">
        <v>45106</v>
      </c>
      <c r="C244" s="9" t="s">
        <v>6</v>
      </c>
      <c r="D244" s="10" t="s">
        <v>211</v>
      </c>
      <c r="E244" s="11" t="n">
        <v>586</v>
      </c>
      <c r="F244" s="12"/>
      <c r="G244" s="12" t="n">
        <v>1789</v>
      </c>
      <c r="H244" s="1" t="str">
        <f aca="false">VLOOKUP($E244,[1]ETB!$B$66:$C$674,2,0)</f>
        <v>Trade debtors</v>
      </c>
    </row>
    <row r="245" customFormat="false" ht="15" hidden="false" customHeight="true" outlineLevel="0" collapsed="false">
      <c r="A245" s="7" t="n">
        <v>56</v>
      </c>
      <c r="B245" s="8" t="n">
        <v>44901</v>
      </c>
      <c r="C245" s="9" t="s">
        <v>6</v>
      </c>
      <c r="D245" s="10" t="s">
        <v>212</v>
      </c>
      <c r="E245" s="11" t="n">
        <v>586</v>
      </c>
      <c r="F245" s="12"/>
      <c r="G245" s="12" t="n">
        <v>1989</v>
      </c>
      <c r="H245" s="1" t="str">
        <f aca="false">VLOOKUP($E245,[1]ETB!$B$66:$C$674,2,0)</f>
        <v>Trade debtors</v>
      </c>
    </row>
    <row r="246" customFormat="false" ht="15" hidden="false" customHeight="true" outlineLevel="0" collapsed="false">
      <c r="A246" s="7" t="n">
        <v>186</v>
      </c>
      <c r="B246" s="8" t="n">
        <v>45086</v>
      </c>
      <c r="C246" s="9" t="s">
        <v>6</v>
      </c>
      <c r="D246" s="10" t="s">
        <v>213</v>
      </c>
      <c r="E246" s="11" t="n">
        <v>586</v>
      </c>
      <c r="F246" s="12"/>
      <c r="G246" s="12" t="n">
        <v>2700</v>
      </c>
      <c r="H246" s="1" t="str">
        <f aca="false">VLOOKUP($E246,[1]ETB!$B$66:$C$674,2,0)</f>
        <v>Trade debtors</v>
      </c>
    </row>
    <row r="247" customFormat="false" ht="15" hidden="false" customHeight="true" outlineLevel="0" collapsed="false">
      <c r="A247" s="7" t="n">
        <v>57</v>
      </c>
      <c r="B247" s="8" t="n">
        <v>45082</v>
      </c>
      <c r="C247" s="9" t="s">
        <v>6</v>
      </c>
      <c r="D247" s="10" t="s">
        <v>214</v>
      </c>
      <c r="E247" s="11" t="n">
        <v>586</v>
      </c>
      <c r="F247" s="12"/>
      <c r="G247" s="12" t="n">
        <v>289</v>
      </c>
      <c r="H247" s="1" t="str">
        <f aca="false">VLOOKUP($E247,[1]ETB!$B$66:$C$674,2,0)</f>
        <v>Trade debtors</v>
      </c>
    </row>
    <row r="248" customFormat="false" ht="15" hidden="false" customHeight="true" outlineLevel="0" collapsed="false">
      <c r="A248" s="7" t="n">
        <v>333</v>
      </c>
      <c r="B248" s="8" t="n">
        <v>45208</v>
      </c>
      <c r="C248" s="9" t="s">
        <v>6</v>
      </c>
      <c r="D248" s="10" t="s">
        <v>215</v>
      </c>
      <c r="E248" s="11" t="n">
        <v>586</v>
      </c>
      <c r="F248" s="12"/>
      <c r="G248" s="12" t="n">
        <v>2189</v>
      </c>
      <c r="H248" s="1" t="str">
        <f aca="false">VLOOKUP($E248,[1]ETB!$B$66:$C$674,2,0)</f>
        <v>Trade debtors</v>
      </c>
    </row>
    <row r="249" customFormat="false" ht="15" hidden="false" customHeight="true" outlineLevel="0" collapsed="false">
      <c r="A249" s="7" t="n">
        <v>344</v>
      </c>
      <c r="B249" s="8" t="n">
        <v>45212</v>
      </c>
      <c r="C249" s="9" t="s">
        <v>6</v>
      </c>
      <c r="D249" s="10" t="s">
        <v>216</v>
      </c>
      <c r="E249" s="11" t="n">
        <v>586</v>
      </c>
      <c r="F249" s="12"/>
      <c r="G249" s="12" t="n">
        <v>1900</v>
      </c>
      <c r="H249" s="1" t="str">
        <f aca="false">VLOOKUP($E249,[1]ETB!$B$66:$C$674,2,0)</f>
        <v>Trade debtors</v>
      </c>
    </row>
    <row r="250" customFormat="false" ht="15" hidden="false" customHeight="true" outlineLevel="0" collapsed="false">
      <c r="A250" s="7" t="n">
        <v>275</v>
      </c>
      <c r="B250" s="8" t="n">
        <v>45034</v>
      </c>
      <c r="C250" s="9" t="s">
        <v>30</v>
      </c>
      <c r="D250" s="10" t="s">
        <v>217</v>
      </c>
      <c r="E250" s="11" t="n">
        <v>586</v>
      </c>
      <c r="F250" s="12"/>
      <c r="G250" s="12" t="n">
        <v>2000</v>
      </c>
      <c r="H250" s="1" t="str">
        <f aca="false">VLOOKUP($E250,[1]ETB!$B$66:$C$674,2,0)</f>
        <v>Trade debtors</v>
      </c>
    </row>
    <row r="251" customFormat="false" ht="15" hidden="false" customHeight="true" outlineLevel="0" collapsed="false">
      <c r="A251" s="7" t="n">
        <v>286</v>
      </c>
      <c r="B251" s="8" t="n">
        <v>45034</v>
      </c>
      <c r="C251" s="9" t="s">
        <v>30</v>
      </c>
      <c r="D251" s="10" t="s">
        <v>217</v>
      </c>
      <c r="E251" s="11" t="n">
        <v>586</v>
      </c>
      <c r="F251" s="12"/>
      <c r="G251" s="12" t="n">
        <v>850</v>
      </c>
      <c r="H251" s="1" t="str">
        <f aca="false">VLOOKUP($E251,[1]ETB!$B$66:$C$674,2,0)</f>
        <v>Trade debtors</v>
      </c>
    </row>
    <row r="252" customFormat="false" ht="15" hidden="false" customHeight="true" outlineLevel="0" collapsed="false">
      <c r="A252" s="7" t="n">
        <v>256</v>
      </c>
      <c r="B252" s="8" t="n">
        <v>45027</v>
      </c>
      <c r="C252" s="9" t="s">
        <v>30</v>
      </c>
      <c r="D252" s="10" t="s">
        <v>218</v>
      </c>
      <c r="E252" s="11" t="n">
        <v>586</v>
      </c>
      <c r="F252" s="12"/>
      <c r="G252" s="12" t="n">
        <v>189</v>
      </c>
      <c r="H252" s="1" t="str">
        <f aca="false">VLOOKUP($E252,[1]ETB!$B$66:$C$674,2,0)</f>
        <v>Trade debtors</v>
      </c>
    </row>
    <row r="253" customFormat="false" ht="15" hidden="false" customHeight="true" outlineLevel="0" collapsed="false">
      <c r="A253" s="7" t="n">
        <v>239</v>
      </c>
      <c r="B253" s="8" t="n">
        <v>45237</v>
      </c>
      <c r="C253" s="9" t="s">
        <v>6</v>
      </c>
      <c r="D253" s="10" t="s">
        <v>219</v>
      </c>
      <c r="E253" s="11" t="n">
        <v>586</v>
      </c>
      <c r="F253" s="12"/>
      <c r="G253" s="12" t="n">
        <v>300</v>
      </c>
      <c r="H253" s="1" t="str">
        <f aca="false">VLOOKUP($E253,[1]ETB!$B$66:$C$674,2,0)</f>
        <v>Trade debtors</v>
      </c>
    </row>
    <row r="254" customFormat="false" ht="15" hidden="false" customHeight="true" outlineLevel="0" collapsed="false">
      <c r="A254" s="7" t="n">
        <v>240</v>
      </c>
      <c r="B254" s="8" t="n">
        <v>45244</v>
      </c>
      <c r="C254" s="9" t="s">
        <v>6</v>
      </c>
      <c r="D254" s="10" t="s">
        <v>219</v>
      </c>
      <c r="E254" s="11" t="n">
        <v>586</v>
      </c>
      <c r="F254" s="12"/>
      <c r="G254" s="12" t="n">
        <v>7400</v>
      </c>
      <c r="H254" s="1" t="str">
        <f aca="false">VLOOKUP($E254,[1]ETB!$B$66:$C$674,2,0)</f>
        <v>Trade debtors</v>
      </c>
    </row>
    <row r="255" customFormat="false" ht="15" hidden="false" customHeight="true" outlineLevel="0" collapsed="false">
      <c r="A255" s="7" t="n">
        <v>241</v>
      </c>
      <c r="B255" s="8" t="n">
        <v>45197</v>
      </c>
      <c r="C255" s="9" t="s">
        <v>30</v>
      </c>
      <c r="D255" s="10" t="s">
        <v>220</v>
      </c>
      <c r="E255" s="11" t="n">
        <v>586</v>
      </c>
      <c r="F255" s="12"/>
      <c r="G255" s="12" t="n">
        <v>2000</v>
      </c>
      <c r="H255" s="1" t="str">
        <f aca="false">VLOOKUP($E255,[1]ETB!$B$66:$C$674,2,0)</f>
        <v>Trade debtors</v>
      </c>
    </row>
    <row r="256" customFormat="false" ht="15" hidden="false" customHeight="true" outlineLevel="0" collapsed="false">
      <c r="A256" s="7" t="n">
        <v>170</v>
      </c>
      <c r="B256" s="8" t="n">
        <v>45124</v>
      </c>
      <c r="C256" s="9" t="s">
        <v>6</v>
      </c>
      <c r="D256" s="10" t="s">
        <v>221</v>
      </c>
      <c r="E256" s="11" t="n">
        <v>586</v>
      </c>
      <c r="F256" s="12"/>
      <c r="G256" s="12" t="n">
        <v>289</v>
      </c>
      <c r="H256" s="1" t="str">
        <f aca="false">VLOOKUP($E256,[1]ETB!$B$66:$C$674,2,0)</f>
        <v>Trade debtors</v>
      </c>
    </row>
    <row r="257" customFormat="false" ht="15" hidden="false" customHeight="true" outlineLevel="0" collapsed="false">
      <c r="A257" s="7" t="n">
        <v>245</v>
      </c>
      <c r="B257" s="8" t="n">
        <v>45243</v>
      </c>
      <c r="C257" s="9" t="s">
        <v>6</v>
      </c>
      <c r="D257" s="10" t="s">
        <v>222</v>
      </c>
      <c r="E257" s="11" t="n">
        <v>586</v>
      </c>
      <c r="F257" s="12"/>
      <c r="G257" s="12" t="n">
        <v>3300</v>
      </c>
      <c r="H257" s="1" t="str">
        <f aca="false">VLOOKUP($E257,[1]ETB!$B$66:$C$674,2,0)</f>
        <v>Trade debtors</v>
      </c>
    </row>
    <row r="258" customFormat="false" ht="15" hidden="false" customHeight="true" outlineLevel="0" collapsed="false">
      <c r="A258" s="7" t="n">
        <v>246</v>
      </c>
      <c r="B258" s="8" t="n">
        <v>45243</v>
      </c>
      <c r="C258" s="9" t="s">
        <v>6</v>
      </c>
      <c r="D258" s="10" t="s">
        <v>222</v>
      </c>
      <c r="E258" s="11" t="n">
        <v>586</v>
      </c>
      <c r="F258" s="12"/>
      <c r="G258" s="12" t="n">
        <v>489</v>
      </c>
      <c r="H258" s="1" t="str">
        <f aca="false">VLOOKUP($E258,[1]ETB!$B$66:$C$674,2,0)</f>
        <v>Trade debtors</v>
      </c>
    </row>
    <row r="259" customFormat="false" ht="15" hidden="false" customHeight="true" outlineLevel="0" collapsed="false">
      <c r="A259" s="7" t="n">
        <v>277</v>
      </c>
      <c r="B259" s="8" t="n">
        <v>45191</v>
      </c>
      <c r="C259" s="9" t="s">
        <v>6</v>
      </c>
      <c r="D259" s="10" t="s">
        <v>223</v>
      </c>
      <c r="E259" s="11" t="n">
        <v>586</v>
      </c>
      <c r="F259" s="12"/>
      <c r="G259" s="12" t="n">
        <v>289</v>
      </c>
      <c r="H259" s="1" t="str">
        <f aca="false">VLOOKUP($E259,[1]ETB!$B$66:$C$674,2,0)</f>
        <v>Trade debtors</v>
      </c>
    </row>
    <row r="260" customFormat="false" ht="15" hidden="false" customHeight="true" outlineLevel="0" collapsed="false">
      <c r="A260" s="7" t="n">
        <v>248</v>
      </c>
      <c r="B260" s="8" t="n">
        <v>45194</v>
      </c>
      <c r="C260" s="9" t="s">
        <v>6</v>
      </c>
      <c r="D260" s="10" t="s">
        <v>223</v>
      </c>
      <c r="E260" s="11" t="n">
        <v>586</v>
      </c>
      <c r="F260" s="12"/>
      <c r="G260" s="12" t="n">
        <v>2700</v>
      </c>
      <c r="H260" s="1" t="str">
        <f aca="false">VLOOKUP($E260,[1]ETB!$B$66:$C$674,2,0)</f>
        <v>Trade debtors</v>
      </c>
    </row>
    <row r="261" customFormat="false" ht="15" hidden="false" customHeight="true" outlineLevel="0" collapsed="false">
      <c r="A261" s="7" t="n">
        <v>249</v>
      </c>
      <c r="B261" s="8" t="n">
        <v>45205</v>
      </c>
      <c r="C261" s="9" t="s">
        <v>6</v>
      </c>
      <c r="D261" s="10" t="s">
        <v>224</v>
      </c>
      <c r="E261" s="11" t="n">
        <v>586</v>
      </c>
      <c r="F261" s="12"/>
      <c r="G261" s="12" t="n">
        <v>3000</v>
      </c>
      <c r="H261" s="1" t="str">
        <f aca="false">VLOOKUP($E261,[1]ETB!$B$66:$C$674,2,0)</f>
        <v>Trade debtors</v>
      </c>
    </row>
    <row r="262" customFormat="false" ht="15" hidden="false" customHeight="true" outlineLevel="0" collapsed="false">
      <c r="A262" s="7" t="n">
        <v>250</v>
      </c>
      <c r="B262" s="8" t="n">
        <v>45195</v>
      </c>
      <c r="C262" s="9" t="s">
        <v>6</v>
      </c>
      <c r="D262" s="10" t="s">
        <v>225</v>
      </c>
      <c r="E262" s="11" t="n">
        <v>586</v>
      </c>
      <c r="F262" s="12"/>
      <c r="G262" s="12" t="n">
        <v>489</v>
      </c>
      <c r="H262" s="1" t="str">
        <f aca="false">VLOOKUP($E262,[1]ETB!$B$66:$C$674,2,0)</f>
        <v>Trade debtors</v>
      </c>
    </row>
    <row r="263" customFormat="false" ht="15" hidden="false" customHeight="true" outlineLevel="0" collapsed="false">
      <c r="A263" s="7" t="n">
        <v>251</v>
      </c>
      <c r="B263" s="8" t="n">
        <v>45257</v>
      </c>
      <c r="C263" s="9" t="s">
        <v>6</v>
      </c>
      <c r="D263" s="10" t="s">
        <v>226</v>
      </c>
      <c r="E263" s="11" t="n">
        <v>586</v>
      </c>
      <c r="F263" s="12"/>
      <c r="G263" s="12" t="n">
        <v>6930</v>
      </c>
      <c r="H263" s="1" t="str">
        <f aca="false">VLOOKUP($E263,[1]ETB!$B$66:$C$674,2,0)</f>
        <v>Trade debtors</v>
      </c>
    </row>
    <row r="264" customFormat="false" ht="15" hidden="false" customHeight="true" outlineLevel="0" collapsed="false">
      <c r="A264" s="7" t="n">
        <v>89</v>
      </c>
      <c r="B264" s="8" t="n">
        <v>45086</v>
      </c>
      <c r="C264" s="9" t="s">
        <v>30</v>
      </c>
      <c r="D264" s="10" t="s">
        <v>227</v>
      </c>
      <c r="E264" s="11" t="n">
        <v>586</v>
      </c>
      <c r="F264" s="12"/>
      <c r="G264" s="12" t="n">
        <v>289</v>
      </c>
      <c r="H264" s="1" t="str">
        <f aca="false">VLOOKUP($E264,[1]ETB!$B$66:$C$674,2,0)</f>
        <v>Trade debtors</v>
      </c>
    </row>
    <row r="265" customFormat="false" ht="15" hidden="false" customHeight="true" outlineLevel="0" collapsed="false">
      <c r="A265" s="7" t="n">
        <v>230</v>
      </c>
      <c r="B265" s="8" t="n">
        <v>45091</v>
      </c>
      <c r="C265" s="9" t="s">
        <v>30</v>
      </c>
      <c r="D265" s="10" t="s">
        <v>227</v>
      </c>
      <c r="E265" s="11" t="n">
        <v>586</v>
      </c>
      <c r="F265" s="12"/>
      <c r="G265" s="12" t="n">
        <v>3500</v>
      </c>
      <c r="H265" s="1" t="str">
        <f aca="false">VLOOKUP($E265,[1]ETB!$B$66:$C$674,2,0)</f>
        <v>Trade debtors</v>
      </c>
    </row>
    <row r="266" customFormat="false" ht="15" hidden="false" customHeight="true" outlineLevel="0" collapsed="false">
      <c r="A266" s="7" t="n">
        <v>247</v>
      </c>
      <c r="B266" s="8" t="n">
        <v>45181</v>
      </c>
      <c r="C266" s="9" t="s">
        <v>30</v>
      </c>
      <c r="D266" s="10" t="s">
        <v>228</v>
      </c>
      <c r="E266" s="11" t="n">
        <v>586</v>
      </c>
      <c r="F266" s="12"/>
      <c r="G266" s="12" t="n">
        <v>289</v>
      </c>
      <c r="H266" s="1" t="str">
        <f aca="false">VLOOKUP($E266,[1]ETB!$B$66:$C$674,2,0)</f>
        <v>Trade debtors</v>
      </c>
    </row>
    <row r="267" customFormat="false" ht="15" hidden="false" customHeight="true" outlineLevel="0" collapsed="false">
      <c r="A267" s="7" t="n">
        <v>255</v>
      </c>
      <c r="B267" s="8" t="n">
        <v>45183</v>
      </c>
      <c r="C267" s="9" t="s">
        <v>30</v>
      </c>
      <c r="D267" s="10" t="s">
        <v>228</v>
      </c>
      <c r="E267" s="11" t="n">
        <v>586</v>
      </c>
      <c r="F267" s="12"/>
      <c r="G267" s="12" t="n">
        <v>1700</v>
      </c>
      <c r="H267" s="1" t="str">
        <f aca="false">VLOOKUP($E267,[1]ETB!$B$66:$C$674,2,0)</f>
        <v>Trade debtors</v>
      </c>
    </row>
    <row r="268" customFormat="false" ht="15" hidden="false" customHeight="true" outlineLevel="0" collapsed="false">
      <c r="A268" s="7" t="n">
        <v>288</v>
      </c>
      <c r="B268" s="8" t="n">
        <v>45201</v>
      </c>
      <c r="C268" s="9" t="s">
        <v>6</v>
      </c>
      <c r="D268" s="10" t="s">
        <v>229</v>
      </c>
      <c r="E268" s="11" t="n">
        <v>586</v>
      </c>
      <c r="F268" s="12"/>
      <c r="G268" s="12" t="n">
        <v>2660</v>
      </c>
      <c r="H268" s="1" t="str">
        <f aca="false">VLOOKUP($E268,[1]ETB!$B$66:$C$674,2,0)</f>
        <v>Trade debtors</v>
      </c>
    </row>
    <row r="269" customFormat="false" ht="15" hidden="false" customHeight="true" outlineLevel="0" collapsed="false">
      <c r="A269" s="7" t="n">
        <v>349</v>
      </c>
      <c r="B269" s="8" t="n">
        <v>45197</v>
      </c>
      <c r="C269" s="9" t="s">
        <v>6</v>
      </c>
      <c r="D269" s="10" t="s">
        <v>230</v>
      </c>
      <c r="E269" s="11" t="n">
        <v>586</v>
      </c>
      <c r="F269" s="12"/>
      <c r="G269" s="12" t="n">
        <v>300</v>
      </c>
      <c r="H269" s="1" t="str">
        <f aca="false">VLOOKUP($E269,[1]ETB!$B$66:$C$674,2,0)</f>
        <v>Trade debtors</v>
      </c>
    </row>
    <row r="270" customFormat="false" ht="15" hidden="false" customHeight="true" outlineLevel="0" collapsed="false">
      <c r="A270" s="7" t="n">
        <v>326</v>
      </c>
      <c r="B270" s="8" t="n">
        <v>44953</v>
      </c>
      <c r="C270" s="9" t="s">
        <v>6</v>
      </c>
      <c r="D270" s="10" t="s">
        <v>231</v>
      </c>
      <c r="E270" s="11" t="n">
        <v>586</v>
      </c>
      <c r="F270" s="12"/>
      <c r="G270" s="12" t="n">
        <v>1850</v>
      </c>
      <c r="H270" s="1" t="str">
        <f aca="false">VLOOKUP($E270,[1]ETB!$B$66:$C$674,2,0)</f>
        <v>Trade debtors</v>
      </c>
    </row>
    <row r="271" customFormat="false" ht="15" hidden="false" customHeight="true" outlineLevel="0" collapsed="false">
      <c r="A271" s="7" t="n">
        <v>225</v>
      </c>
      <c r="B271" s="8" t="n">
        <v>45058</v>
      </c>
      <c r="C271" s="9" t="s">
        <v>6</v>
      </c>
      <c r="D271" s="10" t="s">
        <v>231</v>
      </c>
      <c r="E271" s="11" t="n">
        <v>586</v>
      </c>
      <c r="F271" s="12"/>
      <c r="G271" s="12" t="n">
        <v>3800</v>
      </c>
      <c r="H271" s="1" t="str">
        <f aca="false">VLOOKUP($E271,[1]ETB!$B$66:$C$674,2,0)</f>
        <v>Trade debtors</v>
      </c>
    </row>
    <row r="272" customFormat="false" ht="15" hidden="false" customHeight="true" outlineLevel="0" collapsed="false">
      <c r="A272" s="7" t="n">
        <v>120</v>
      </c>
      <c r="B272" s="8" t="n">
        <v>45233</v>
      </c>
      <c r="C272" s="9" t="s">
        <v>6</v>
      </c>
      <c r="D272" s="10" t="s">
        <v>232</v>
      </c>
      <c r="E272" s="11" t="n">
        <v>586</v>
      </c>
      <c r="F272" s="12"/>
      <c r="G272" s="12" t="n">
        <v>2000</v>
      </c>
      <c r="H272" s="1" t="str">
        <f aca="false">VLOOKUP($E272,[1]ETB!$B$66:$C$674,2,0)</f>
        <v>Trade debtors</v>
      </c>
    </row>
    <row r="273" customFormat="false" ht="15" hidden="false" customHeight="true" outlineLevel="0" collapsed="false">
      <c r="A273" s="7" t="n">
        <v>129</v>
      </c>
      <c r="B273" s="8" t="n">
        <v>45020</v>
      </c>
      <c r="C273" s="9" t="s">
        <v>6</v>
      </c>
      <c r="D273" s="10" t="s">
        <v>233</v>
      </c>
      <c r="E273" s="11" t="n">
        <v>586</v>
      </c>
      <c r="F273" s="12"/>
      <c r="G273" s="12" t="n">
        <v>69</v>
      </c>
      <c r="H273" s="1" t="str">
        <f aca="false">VLOOKUP($E273,[1]ETB!$B$66:$C$674,2,0)</f>
        <v>Trade debtors</v>
      </c>
    </row>
    <row r="274" customFormat="false" ht="15" hidden="false" customHeight="true" outlineLevel="0" collapsed="false">
      <c r="A274" s="7" t="n">
        <v>293</v>
      </c>
      <c r="B274" s="8" t="n">
        <v>45201</v>
      </c>
      <c r="C274" s="9" t="s">
        <v>6</v>
      </c>
      <c r="D274" s="10" t="s">
        <v>234</v>
      </c>
      <c r="E274" s="11" t="n">
        <v>586</v>
      </c>
      <c r="F274" s="12"/>
      <c r="G274" s="12" t="n">
        <v>4011</v>
      </c>
      <c r="H274" s="1" t="str">
        <f aca="false">VLOOKUP($E274,[1]ETB!$B$66:$C$674,2,0)</f>
        <v>Trade debtors</v>
      </c>
    </row>
    <row r="275" customFormat="false" ht="15" hidden="false" customHeight="true" outlineLevel="0" collapsed="false">
      <c r="A275" s="7" t="n">
        <v>308</v>
      </c>
      <c r="B275" s="8" t="n">
        <v>45197</v>
      </c>
      <c r="C275" s="9" t="s">
        <v>6</v>
      </c>
      <c r="D275" s="10" t="s">
        <v>235</v>
      </c>
      <c r="E275" s="11" t="n">
        <v>586</v>
      </c>
      <c r="F275" s="12"/>
      <c r="G275" s="12" t="n">
        <v>289</v>
      </c>
      <c r="H275" s="1" t="str">
        <f aca="false">VLOOKUP($E275,[1]ETB!$B$66:$C$674,2,0)</f>
        <v>Trade debtors</v>
      </c>
    </row>
    <row r="276" customFormat="false" ht="15" hidden="false" customHeight="true" outlineLevel="0" collapsed="false">
      <c r="A276" s="7" t="n">
        <v>173</v>
      </c>
      <c r="B276" s="8" t="n">
        <v>45147</v>
      </c>
      <c r="C276" s="9" t="s">
        <v>6</v>
      </c>
      <c r="D276" s="10" t="s">
        <v>236</v>
      </c>
      <c r="E276" s="11" t="n">
        <v>586</v>
      </c>
      <c r="F276" s="12"/>
      <c r="G276" s="12" t="n">
        <v>2700</v>
      </c>
      <c r="H276" s="1" t="str">
        <f aca="false">VLOOKUP($E276,[1]ETB!$B$66:$C$674,2,0)</f>
        <v>Trade debtors</v>
      </c>
    </row>
    <row r="277" customFormat="false" ht="15" hidden="false" customHeight="true" outlineLevel="0" collapsed="false">
      <c r="A277" s="7" t="n">
        <v>80</v>
      </c>
      <c r="B277" s="8" t="n">
        <v>45083</v>
      </c>
      <c r="C277" s="9" t="s">
        <v>6</v>
      </c>
      <c r="D277" s="10" t="s">
        <v>237</v>
      </c>
      <c r="E277" s="11" t="n">
        <v>586</v>
      </c>
      <c r="F277" s="12"/>
      <c r="G277" s="12" t="n">
        <v>3489</v>
      </c>
      <c r="H277" s="1" t="str">
        <f aca="false">VLOOKUP($E277,[1]ETB!$B$66:$C$674,2,0)</f>
        <v>Trade debtors</v>
      </c>
    </row>
    <row r="278" customFormat="false" ht="15" hidden="false" customHeight="true" outlineLevel="0" collapsed="false">
      <c r="A278" s="7" t="n">
        <v>46</v>
      </c>
      <c r="B278" s="8" t="n">
        <v>45019</v>
      </c>
      <c r="C278" s="9" t="s">
        <v>6</v>
      </c>
      <c r="D278" s="10" t="s">
        <v>238</v>
      </c>
      <c r="E278" s="11" t="n">
        <v>586</v>
      </c>
      <c r="F278" s="12"/>
      <c r="G278" s="12" t="n">
        <v>2200</v>
      </c>
      <c r="H278" s="1" t="str">
        <f aca="false">VLOOKUP($E278,[1]ETB!$B$66:$C$674,2,0)</f>
        <v>Trade debtors</v>
      </c>
    </row>
    <row r="279" customFormat="false" ht="15" hidden="false" customHeight="true" outlineLevel="0" collapsed="false">
      <c r="A279" s="7" t="n">
        <v>125</v>
      </c>
      <c r="B279" s="8" t="n">
        <v>45135</v>
      </c>
      <c r="C279" s="9" t="s">
        <v>6</v>
      </c>
      <c r="D279" s="10" t="s">
        <v>239</v>
      </c>
      <c r="E279" s="11" t="n">
        <v>586</v>
      </c>
      <c r="F279" s="12"/>
      <c r="G279" s="12" t="n">
        <v>300</v>
      </c>
      <c r="H279" s="1" t="str">
        <f aca="false">VLOOKUP($E279,[1]ETB!$B$66:$C$674,2,0)</f>
        <v>Trade debtors</v>
      </c>
    </row>
    <row r="280" customFormat="false" ht="15" hidden="false" customHeight="true" outlineLevel="0" collapsed="false">
      <c r="A280" s="7" t="n">
        <v>209</v>
      </c>
      <c r="B280" s="8" t="n">
        <v>45152</v>
      </c>
      <c r="C280" s="9" t="s">
        <v>6</v>
      </c>
      <c r="D280" s="10" t="s">
        <v>239</v>
      </c>
      <c r="E280" s="11" t="n">
        <v>586</v>
      </c>
      <c r="F280" s="12"/>
      <c r="G280" s="12" t="n">
        <v>1530</v>
      </c>
      <c r="H280" s="1" t="str">
        <f aca="false">VLOOKUP($E280,[1]ETB!$B$66:$C$674,2,0)</f>
        <v>Trade debtors</v>
      </c>
    </row>
    <row r="281" customFormat="false" ht="15" hidden="false" customHeight="true" outlineLevel="0" collapsed="false">
      <c r="A281" s="7" t="n">
        <v>339</v>
      </c>
      <c r="B281" s="8" t="n">
        <v>45042</v>
      </c>
      <c r="C281" s="9" t="s">
        <v>6</v>
      </c>
      <c r="D281" s="10" t="s">
        <v>240</v>
      </c>
      <c r="E281" s="11" t="n">
        <v>586</v>
      </c>
      <c r="F281" s="12"/>
      <c r="G281" s="12" t="n">
        <v>3189</v>
      </c>
      <c r="H281" s="1" t="str">
        <f aca="false">VLOOKUP($E281,[1]ETB!$B$66:$C$674,2,0)</f>
        <v>Trade debtors</v>
      </c>
    </row>
    <row r="282" customFormat="false" ht="15" hidden="false" customHeight="true" outlineLevel="0" collapsed="false">
      <c r="A282" s="7" t="n">
        <v>259</v>
      </c>
      <c r="B282" s="8" t="n">
        <v>45057</v>
      </c>
      <c r="C282" s="9" t="s">
        <v>6</v>
      </c>
      <c r="D282" s="10" t="s">
        <v>241</v>
      </c>
      <c r="E282" s="11" t="n">
        <v>586</v>
      </c>
      <c r="F282" s="12"/>
      <c r="G282" s="12" t="n">
        <v>1489</v>
      </c>
      <c r="H282" s="1" t="str">
        <f aca="false">VLOOKUP($E282,[1]ETB!$B$66:$C$674,2,0)</f>
        <v>Trade debtors</v>
      </c>
    </row>
    <row r="283" customFormat="false" ht="15" hidden="false" customHeight="true" outlineLevel="0" collapsed="false">
      <c r="A283" s="7" t="n">
        <v>272</v>
      </c>
      <c r="B283" s="8" t="n">
        <v>45030</v>
      </c>
      <c r="C283" s="9" t="s">
        <v>6</v>
      </c>
      <c r="D283" s="10" t="s">
        <v>242</v>
      </c>
      <c r="E283" s="11" t="n">
        <v>586</v>
      </c>
      <c r="F283" s="12"/>
      <c r="G283" s="12" t="n">
        <v>1339</v>
      </c>
      <c r="H283" s="1" t="str">
        <f aca="false">VLOOKUP($E283,[1]ETB!$B$66:$C$674,2,0)</f>
        <v>Trade debtors</v>
      </c>
    </row>
    <row r="284" customFormat="false" ht="15" hidden="false" customHeight="true" outlineLevel="0" collapsed="false">
      <c r="A284" s="7" t="n">
        <v>274</v>
      </c>
      <c r="B284" s="8" t="n">
        <v>45033</v>
      </c>
      <c r="C284" s="9" t="s">
        <v>6</v>
      </c>
      <c r="D284" s="10" t="s">
        <v>242</v>
      </c>
      <c r="E284" s="11" t="n">
        <v>586</v>
      </c>
      <c r="F284" s="12"/>
      <c r="G284" s="12" t="n">
        <v>2000</v>
      </c>
      <c r="H284" s="1" t="str">
        <f aca="false">VLOOKUP($E284,[1]ETB!$B$66:$C$674,2,0)</f>
        <v>Trade debtors</v>
      </c>
    </row>
    <row r="285" customFormat="false" ht="15" hidden="false" customHeight="true" outlineLevel="0" collapsed="false">
      <c r="A285" s="7" t="n">
        <v>243</v>
      </c>
      <c r="B285" s="8" t="n">
        <v>45160</v>
      </c>
      <c r="C285" s="9" t="s">
        <v>30</v>
      </c>
      <c r="D285" s="10" t="s">
        <v>243</v>
      </c>
      <c r="E285" s="11" t="n">
        <v>586</v>
      </c>
      <c r="F285" s="12"/>
      <c r="G285" s="12" t="n">
        <v>289</v>
      </c>
      <c r="H285" s="1" t="str">
        <f aca="false">VLOOKUP($E285,[1]ETB!$B$66:$C$674,2,0)</f>
        <v>Trade debtors</v>
      </c>
    </row>
    <row r="286" customFormat="false" ht="15" hidden="false" customHeight="true" outlineLevel="0" collapsed="false">
      <c r="A286" s="7" t="n">
        <v>357</v>
      </c>
      <c r="B286" s="8" t="n">
        <v>45167</v>
      </c>
      <c r="C286" s="9" t="s">
        <v>30</v>
      </c>
      <c r="D286" s="10" t="s">
        <v>243</v>
      </c>
      <c r="E286" s="11" t="n">
        <v>586</v>
      </c>
      <c r="F286" s="12"/>
      <c r="G286" s="12" t="n">
        <v>789</v>
      </c>
      <c r="H286" s="1" t="str">
        <f aca="false">VLOOKUP($E286,[1]ETB!$B$66:$C$674,2,0)</f>
        <v>Trade debtors</v>
      </c>
    </row>
    <row r="287" customFormat="false" ht="15" hidden="false" customHeight="true" outlineLevel="0" collapsed="false">
      <c r="A287" s="7" t="n">
        <v>320</v>
      </c>
      <c r="B287" s="8" t="n">
        <v>45223</v>
      </c>
      <c r="C287" s="9" t="s">
        <v>30</v>
      </c>
      <c r="D287" s="10" t="s">
        <v>244</v>
      </c>
      <c r="E287" s="11" t="n">
        <v>586</v>
      </c>
      <c r="F287" s="12"/>
      <c r="G287" s="12" t="n">
        <v>289</v>
      </c>
      <c r="H287" s="1" t="str">
        <f aca="false">VLOOKUP($E287,[1]ETB!$B$66:$C$674,2,0)</f>
        <v>Trade debtors</v>
      </c>
    </row>
    <row r="288" customFormat="false" ht="15" hidden="false" customHeight="true" outlineLevel="0" collapsed="false">
      <c r="A288" s="7" t="n">
        <v>279</v>
      </c>
      <c r="B288" s="8" t="n">
        <v>45225</v>
      </c>
      <c r="C288" s="9" t="s">
        <v>30</v>
      </c>
      <c r="D288" s="10" t="s">
        <v>244</v>
      </c>
      <c r="E288" s="11" t="n">
        <v>586</v>
      </c>
      <c r="F288" s="12"/>
      <c r="G288" s="12" t="n">
        <v>3200</v>
      </c>
      <c r="H288" s="1" t="str">
        <f aca="false">VLOOKUP($E288,[1]ETB!$B$66:$C$674,2,0)</f>
        <v>Trade debtors</v>
      </c>
    </row>
    <row r="289" customFormat="false" ht="15" hidden="false" customHeight="true" outlineLevel="0" collapsed="false">
      <c r="A289" s="7" t="n">
        <v>280</v>
      </c>
      <c r="B289" s="8" t="n">
        <v>45076</v>
      </c>
      <c r="C289" s="9" t="s">
        <v>6</v>
      </c>
      <c r="D289" s="10" t="s">
        <v>245</v>
      </c>
      <c r="E289" s="11" t="n">
        <v>586</v>
      </c>
      <c r="F289" s="12"/>
      <c r="G289" s="12" t="n">
        <v>2989</v>
      </c>
      <c r="H289" s="1" t="str">
        <f aca="false">VLOOKUP($E289,[1]ETB!$B$66:$C$674,2,0)</f>
        <v>Trade debtors</v>
      </c>
    </row>
    <row r="290" customFormat="false" ht="15" hidden="false" customHeight="true" outlineLevel="0" collapsed="false">
      <c r="A290" s="7" t="n">
        <v>281</v>
      </c>
      <c r="B290" s="8" t="n">
        <v>45205</v>
      </c>
      <c r="C290" s="9" t="s">
        <v>6</v>
      </c>
      <c r="D290" s="10" t="s">
        <v>246</v>
      </c>
      <c r="E290" s="11" t="n">
        <v>586</v>
      </c>
      <c r="F290" s="12"/>
      <c r="G290" s="12" t="n">
        <v>1889</v>
      </c>
      <c r="H290" s="1" t="str">
        <f aca="false">VLOOKUP($E290,[1]ETB!$B$66:$C$674,2,0)</f>
        <v>Trade debtors</v>
      </c>
    </row>
    <row r="291" customFormat="false" ht="15" hidden="false" customHeight="true" outlineLevel="0" collapsed="false">
      <c r="A291" s="7" t="n">
        <v>325</v>
      </c>
      <c r="B291" s="8" t="n">
        <v>45040</v>
      </c>
      <c r="C291" s="9" t="s">
        <v>30</v>
      </c>
      <c r="D291" s="10" t="s">
        <v>247</v>
      </c>
      <c r="E291" s="11" t="n">
        <v>586</v>
      </c>
      <c r="F291" s="12"/>
      <c r="G291" s="12" t="n">
        <v>1789</v>
      </c>
      <c r="H291" s="1" t="str">
        <f aca="false">VLOOKUP($E291,[1]ETB!$B$66:$C$674,2,0)</f>
        <v>Trade debtors</v>
      </c>
    </row>
    <row r="292" customFormat="false" ht="15" hidden="false" customHeight="true" outlineLevel="0" collapsed="false">
      <c r="A292" s="7" t="n">
        <v>343</v>
      </c>
      <c r="B292" s="8" t="n">
        <v>45167</v>
      </c>
      <c r="C292" s="9" t="s">
        <v>6</v>
      </c>
      <c r="D292" s="10" t="s">
        <v>248</v>
      </c>
      <c r="E292" s="11" t="n">
        <v>586</v>
      </c>
      <c r="F292" s="19"/>
      <c r="G292" s="12" t="n">
        <v>2489</v>
      </c>
      <c r="H292" s="1" t="str">
        <f aca="false">VLOOKUP($E292,[1]ETB!$B$66:$C$674,2,0)</f>
        <v>Trade debtors</v>
      </c>
    </row>
    <row r="293" customFormat="false" ht="15" hidden="false" customHeight="true" outlineLevel="0" collapsed="false">
      <c r="A293" s="7" t="n">
        <v>287</v>
      </c>
      <c r="B293" s="8" t="n">
        <v>44999</v>
      </c>
      <c r="C293" s="9" t="s">
        <v>6</v>
      </c>
      <c r="D293" s="10" t="s">
        <v>249</v>
      </c>
      <c r="E293" s="11" t="n">
        <v>586</v>
      </c>
      <c r="F293" s="12"/>
      <c r="G293" s="12" t="n">
        <v>490</v>
      </c>
      <c r="H293" s="1" t="str">
        <f aca="false">VLOOKUP($E293,[1]ETB!$B$66:$C$674,2,0)</f>
        <v>Trade debtors</v>
      </c>
    </row>
    <row r="294" customFormat="false" ht="15" hidden="false" customHeight="true" outlineLevel="0" collapsed="false">
      <c r="A294" s="7" t="n">
        <v>347</v>
      </c>
      <c r="B294" s="8" t="n">
        <v>45196</v>
      </c>
      <c r="C294" s="9" t="s">
        <v>6</v>
      </c>
      <c r="D294" s="10" t="s">
        <v>250</v>
      </c>
      <c r="E294" s="11" t="n">
        <v>586</v>
      </c>
      <c r="F294" s="12"/>
      <c r="G294" s="12" t="n">
        <v>5989</v>
      </c>
      <c r="H294" s="1" t="str">
        <f aca="false">VLOOKUP($E294,[1]ETB!$B$66:$C$674,2,0)</f>
        <v>Trade debtors</v>
      </c>
    </row>
    <row r="295" customFormat="false" ht="15" hidden="false" customHeight="true" outlineLevel="0" collapsed="false">
      <c r="A295" s="7" t="n">
        <v>90</v>
      </c>
      <c r="B295" s="8" t="n">
        <v>45142</v>
      </c>
      <c r="C295" s="9" t="s">
        <v>30</v>
      </c>
      <c r="D295" s="10" t="s">
        <v>251</v>
      </c>
      <c r="E295" s="11" t="n">
        <v>586</v>
      </c>
      <c r="F295" s="12"/>
      <c r="G295" s="12" t="n">
        <v>289</v>
      </c>
      <c r="H295" s="1" t="str">
        <f aca="false">VLOOKUP($E295,[1]ETB!$B$66:$C$674,2,0)</f>
        <v>Trade debtors</v>
      </c>
    </row>
    <row r="296" customFormat="false" ht="15" hidden="false" customHeight="true" outlineLevel="0" collapsed="false">
      <c r="A296" s="7" t="n">
        <v>197</v>
      </c>
      <c r="B296" s="8" t="n">
        <v>45147</v>
      </c>
      <c r="C296" s="9" t="s">
        <v>30</v>
      </c>
      <c r="D296" s="10" t="s">
        <v>251</v>
      </c>
      <c r="E296" s="11" t="n">
        <v>586</v>
      </c>
      <c r="F296" s="12"/>
      <c r="G296" s="12" t="n">
        <v>3700</v>
      </c>
      <c r="H296" s="1" t="str">
        <f aca="false">VLOOKUP($E296,[1]ETB!$B$66:$C$674,2,0)</f>
        <v>Trade debtors</v>
      </c>
    </row>
    <row r="297" customFormat="false" ht="15" hidden="false" customHeight="true" outlineLevel="0" collapsed="false">
      <c r="A297" s="7" t="n">
        <v>291</v>
      </c>
      <c r="B297" s="8" t="n">
        <v>45006</v>
      </c>
      <c r="C297" s="9" t="s">
        <v>6</v>
      </c>
      <c r="D297" s="10" t="s">
        <v>252</v>
      </c>
      <c r="E297" s="11" t="n">
        <v>586</v>
      </c>
      <c r="F297" s="12"/>
      <c r="G297" s="12" t="n">
        <v>2189</v>
      </c>
      <c r="H297" s="1" t="str">
        <f aca="false">VLOOKUP($E297,[1]ETB!$B$66:$C$674,2,0)</f>
        <v>Trade debtors</v>
      </c>
    </row>
    <row r="298" customFormat="false" ht="15" hidden="false" customHeight="true" outlineLevel="0" collapsed="false">
      <c r="A298" s="7" t="n">
        <v>64</v>
      </c>
      <c r="B298" s="8" t="n">
        <v>44937</v>
      </c>
      <c r="C298" s="9" t="s">
        <v>6</v>
      </c>
      <c r="D298" s="10" t="s">
        <v>253</v>
      </c>
      <c r="E298" s="11" t="n">
        <v>586</v>
      </c>
      <c r="F298" s="12"/>
      <c r="G298" s="12" t="n">
        <v>250</v>
      </c>
      <c r="H298" s="1" t="str">
        <f aca="false">VLOOKUP($E298,[1]ETB!$B$66:$C$674,2,0)</f>
        <v>Trade debtors</v>
      </c>
    </row>
    <row r="299" customFormat="false" ht="15" hidden="false" customHeight="true" outlineLevel="0" collapsed="false">
      <c r="A299" s="7" t="n">
        <v>205</v>
      </c>
      <c r="B299" s="8" t="n">
        <v>44901</v>
      </c>
      <c r="C299" s="9" t="s">
        <v>6</v>
      </c>
      <c r="D299" s="10" t="s">
        <v>254</v>
      </c>
      <c r="E299" s="11" t="n">
        <v>586</v>
      </c>
      <c r="F299" s="12"/>
      <c r="G299" s="12" t="n">
        <v>1500</v>
      </c>
      <c r="H299" s="1" t="str">
        <f aca="false">VLOOKUP($E299,[1]ETB!$B$66:$C$674,2,0)</f>
        <v>Trade debtors</v>
      </c>
    </row>
    <row r="300" customFormat="false" ht="15" hidden="false" customHeight="true" outlineLevel="0" collapsed="false">
      <c r="A300" s="7" t="n">
        <v>273</v>
      </c>
      <c r="B300" s="8" t="n">
        <v>45097</v>
      </c>
      <c r="C300" s="9" t="s">
        <v>6</v>
      </c>
      <c r="D300" s="10" t="s">
        <v>255</v>
      </c>
      <c r="E300" s="11" t="n">
        <v>586</v>
      </c>
      <c r="F300" s="12"/>
      <c r="G300" s="12" t="n">
        <v>1700</v>
      </c>
      <c r="H300" s="1" t="str">
        <f aca="false">VLOOKUP($E300,[1]ETB!$B$66:$C$674,2,0)</f>
        <v>Trade debtors</v>
      </c>
    </row>
    <row r="301" customFormat="false" ht="15" hidden="false" customHeight="true" outlineLevel="0" collapsed="false">
      <c r="A301" s="7" t="n">
        <v>298</v>
      </c>
      <c r="B301" s="8" t="n">
        <v>45125</v>
      </c>
      <c r="C301" s="9" t="s">
        <v>6</v>
      </c>
      <c r="D301" s="10" t="s">
        <v>256</v>
      </c>
      <c r="E301" s="11" t="n">
        <v>586</v>
      </c>
      <c r="F301" s="12"/>
      <c r="G301" s="12" t="n">
        <v>3711</v>
      </c>
      <c r="H301" s="1" t="str">
        <f aca="false">VLOOKUP($E301,[1]ETB!$B$66:$C$674,2,0)</f>
        <v>Trade debtors</v>
      </c>
    </row>
    <row r="302" customFormat="false" ht="15" hidden="false" customHeight="true" outlineLevel="0" collapsed="false">
      <c r="A302" s="7" t="n">
        <v>300</v>
      </c>
      <c r="B302" s="8" t="n">
        <v>45055</v>
      </c>
      <c r="C302" s="9" t="s">
        <v>6</v>
      </c>
      <c r="D302" s="10" t="s">
        <v>257</v>
      </c>
      <c r="E302" s="11" t="n">
        <v>586</v>
      </c>
      <c r="F302" s="12"/>
      <c r="G302" s="12" t="n">
        <v>5989</v>
      </c>
      <c r="H302" s="1" t="str">
        <f aca="false">VLOOKUP($E302,[1]ETB!$B$66:$C$674,2,0)</f>
        <v>Trade debtors</v>
      </c>
    </row>
    <row r="303" customFormat="false" ht="15" hidden="false" customHeight="true" outlineLevel="0" collapsed="false">
      <c r="A303" s="7" t="n">
        <v>302</v>
      </c>
      <c r="B303" s="8" t="n">
        <v>45103</v>
      </c>
      <c r="C303" s="9" t="s">
        <v>30</v>
      </c>
      <c r="D303" s="10" t="s">
        <v>258</v>
      </c>
      <c r="E303" s="11" t="n">
        <v>586</v>
      </c>
      <c r="F303" s="12"/>
      <c r="G303" s="12" t="n">
        <v>2000</v>
      </c>
      <c r="H303" s="1" t="str">
        <f aca="false">VLOOKUP($E303,[1]ETB!$B$66:$C$674,2,0)</f>
        <v>Trade debtors</v>
      </c>
    </row>
    <row r="304" customFormat="false" ht="15" hidden="false" customHeight="true" outlineLevel="0" collapsed="false">
      <c r="A304" s="7" t="n">
        <v>306</v>
      </c>
      <c r="B304" s="8" t="n">
        <v>45103</v>
      </c>
      <c r="C304" s="9" t="s">
        <v>30</v>
      </c>
      <c r="D304" s="10" t="s">
        <v>259</v>
      </c>
      <c r="E304" s="11" t="n">
        <v>586</v>
      </c>
      <c r="F304" s="12"/>
      <c r="G304" s="12" t="n">
        <v>1350</v>
      </c>
      <c r="H304" s="1" t="str">
        <f aca="false">VLOOKUP($E304,[1]ETB!$B$66:$C$674,2,0)</f>
        <v>Trade debtors</v>
      </c>
    </row>
    <row r="305" customFormat="false" ht="15" hidden="false" customHeight="true" outlineLevel="0" collapsed="false">
      <c r="A305" s="7" t="n">
        <v>117</v>
      </c>
      <c r="B305" s="8" t="n">
        <v>44970</v>
      </c>
      <c r="C305" s="9" t="s">
        <v>6</v>
      </c>
      <c r="D305" s="10" t="s">
        <v>260</v>
      </c>
      <c r="E305" s="11" t="n">
        <v>586</v>
      </c>
      <c r="F305" s="12"/>
      <c r="G305" s="12" t="n">
        <v>250</v>
      </c>
      <c r="H305" s="1" t="str">
        <f aca="false">VLOOKUP($E305,[1]ETB!$B$66:$C$674,2,0)</f>
        <v>Trade debtors</v>
      </c>
    </row>
    <row r="306" customFormat="false" ht="15" hidden="false" customHeight="true" outlineLevel="0" collapsed="false">
      <c r="A306" s="7" t="n">
        <v>133</v>
      </c>
      <c r="B306" s="8" t="n">
        <v>44972</v>
      </c>
      <c r="C306" s="9" t="s">
        <v>6</v>
      </c>
      <c r="D306" s="10" t="s">
        <v>260</v>
      </c>
      <c r="E306" s="11" t="n">
        <v>586</v>
      </c>
      <c r="F306" s="12"/>
      <c r="G306" s="12" t="n">
        <v>1850</v>
      </c>
      <c r="H306" s="1" t="str">
        <f aca="false">VLOOKUP($E306,[1]ETB!$B$66:$C$674,2,0)</f>
        <v>Trade debtors</v>
      </c>
    </row>
    <row r="307" customFormat="false" ht="15" hidden="false" customHeight="true" outlineLevel="0" collapsed="false">
      <c r="A307" s="7" t="n">
        <v>305</v>
      </c>
      <c r="B307" s="8" t="n">
        <v>45068</v>
      </c>
      <c r="C307" s="9" t="s">
        <v>6</v>
      </c>
      <c r="D307" s="10" t="s">
        <v>261</v>
      </c>
      <c r="E307" s="11" t="n">
        <v>586</v>
      </c>
      <c r="F307" s="19"/>
      <c r="G307" s="12" t="n">
        <v>3250</v>
      </c>
      <c r="H307" s="1" t="str">
        <f aca="false">VLOOKUP($E307,[1]ETB!$B$66:$C$674,2,0)</f>
        <v>Trade debtors</v>
      </c>
    </row>
    <row r="308" customFormat="false" ht="15" hidden="false" customHeight="true" outlineLevel="0" collapsed="false">
      <c r="A308" s="7" t="n">
        <v>78</v>
      </c>
      <c r="B308" s="8" t="n">
        <v>45083</v>
      </c>
      <c r="C308" s="9" t="s">
        <v>6</v>
      </c>
      <c r="D308" s="10" t="s">
        <v>262</v>
      </c>
      <c r="E308" s="11" t="n">
        <v>586</v>
      </c>
      <c r="F308" s="12"/>
      <c r="G308" s="12" t="n">
        <v>1289</v>
      </c>
      <c r="H308" s="1" t="str">
        <f aca="false">VLOOKUP($E308,[1]ETB!$B$66:$C$674,2,0)</f>
        <v>Trade debtors</v>
      </c>
    </row>
    <row r="309" customFormat="false" ht="15" hidden="false" customHeight="true" outlineLevel="0" collapsed="false">
      <c r="A309" s="7" t="n">
        <v>307</v>
      </c>
      <c r="B309" s="8" t="n">
        <v>45211</v>
      </c>
      <c r="C309" s="9" t="s">
        <v>6</v>
      </c>
      <c r="D309" s="10" t="s">
        <v>263</v>
      </c>
      <c r="E309" s="11" t="n">
        <v>586</v>
      </c>
      <c r="F309" s="12"/>
      <c r="G309" s="12" t="n">
        <v>3889</v>
      </c>
      <c r="H309" s="1" t="str">
        <f aca="false">VLOOKUP($E309,[1]ETB!$B$66:$C$674,2,0)</f>
        <v>Trade debtors</v>
      </c>
    </row>
    <row r="310" customFormat="false" ht="15" hidden="false" customHeight="true" outlineLevel="0" collapsed="false">
      <c r="A310" s="7" t="n">
        <v>226</v>
      </c>
      <c r="B310" s="8" t="n">
        <v>45154</v>
      </c>
      <c r="C310" s="9" t="s">
        <v>30</v>
      </c>
      <c r="D310" s="10" t="s">
        <v>264</v>
      </c>
      <c r="E310" s="11" t="n">
        <v>586</v>
      </c>
      <c r="F310" s="12"/>
      <c r="G310" s="12" t="n">
        <v>289</v>
      </c>
      <c r="H310" s="1" t="str">
        <f aca="false">VLOOKUP($E310,[1]ETB!$B$66:$C$674,2,0)</f>
        <v>Trade debtors</v>
      </c>
    </row>
    <row r="311" customFormat="false" ht="15" hidden="false" customHeight="true" outlineLevel="0" collapsed="false">
      <c r="A311" s="7" t="n">
        <v>242</v>
      </c>
      <c r="B311" s="8" t="n">
        <v>45159</v>
      </c>
      <c r="C311" s="9" t="s">
        <v>30</v>
      </c>
      <c r="D311" s="10" t="s">
        <v>264</v>
      </c>
      <c r="E311" s="11" t="n">
        <v>586</v>
      </c>
      <c r="F311" s="12"/>
      <c r="G311" s="12" t="n">
        <v>2511</v>
      </c>
      <c r="H311" s="1" t="str">
        <f aca="false">VLOOKUP($E311,[1]ETB!$B$66:$C$674,2,0)</f>
        <v>Trade debtors</v>
      </c>
    </row>
    <row r="312" customFormat="false" ht="15" hidden="false" customHeight="true" outlineLevel="0" collapsed="false">
      <c r="A312" s="7" t="n">
        <v>310</v>
      </c>
      <c r="B312" s="8" t="n">
        <v>45251</v>
      </c>
      <c r="C312" s="9" t="s">
        <v>6</v>
      </c>
      <c r="D312" s="10" t="s">
        <v>265</v>
      </c>
      <c r="E312" s="11" t="n">
        <v>586</v>
      </c>
      <c r="F312" s="12"/>
      <c r="G312" s="12" t="n">
        <v>6989</v>
      </c>
      <c r="H312" s="1" t="str">
        <f aca="false">VLOOKUP($E312,[1]ETB!$B$66:$C$674,2,0)</f>
        <v>Trade debtors</v>
      </c>
    </row>
    <row r="313" customFormat="false" ht="15" hidden="false" customHeight="true" outlineLevel="0" collapsed="false">
      <c r="A313" s="7" t="n">
        <v>175</v>
      </c>
      <c r="B313" s="8" t="n">
        <v>45246</v>
      </c>
      <c r="C313" s="9" t="s">
        <v>30</v>
      </c>
      <c r="D313" s="10" t="s">
        <v>266</v>
      </c>
      <c r="E313" s="11" t="n">
        <v>586</v>
      </c>
      <c r="F313" s="12"/>
      <c r="G313" s="12" t="n">
        <v>2200</v>
      </c>
      <c r="H313" s="1" t="str">
        <f aca="false">VLOOKUP($E313,[1]ETB!$B$66:$C$674,2,0)</f>
        <v>Trade debtors</v>
      </c>
    </row>
    <row r="314" customFormat="false" ht="15" hidden="false" customHeight="true" outlineLevel="0" collapsed="false">
      <c r="A314" s="7" t="n">
        <v>312</v>
      </c>
      <c r="B314" s="8" t="n">
        <v>45217</v>
      </c>
      <c r="C314" s="9" t="s">
        <v>6</v>
      </c>
      <c r="D314" s="10" t="s">
        <v>267</v>
      </c>
      <c r="E314" s="11" t="n">
        <v>586</v>
      </c>
      <c r="F314" s="12"/>
      <c r="G314" s="12" t="n">
        <v>3083</v>
      </c>
      <c r="H314" s="1" t="str">
        <f aca="false">VLOOKUP($E314,[1]ETB!$B$66:$C$674,2,0)</f>
        <v>Trade debtors</v>
      </c>
    </row>
    <row r="315" customFormat="false" ht="15" hidden="false" customHeight="true" outlineLevel="0" collapsed="false">
      <c r="A315" s="7" t="n">
        <v>303</v>
      </c>
      <c r="B315" s="8" t="n">
        <v>45173</v>
      </c>
      <c r="C315" s="9" t="s">
        <v>30</v>
      </c>
      <c r="D315" s="10" t="s">
        <v>268</v>
      </c>
      <c r="E315" s="11" t="n">
        <v>586</v>
      </c>
      <c r="F315" s="12"/>
      <c r="G315" s="12" t="n">
        <v>1989</v>
      </c>
      <c r="H315" s="1" t="str">
        <f aca="false">VLOOKUP($E315,[1]ETB!$B$66:$C$674,2,0)</f>
        <v>Trade debtors</v>
      </c>
    </row>
    <row r="316" customFormat="false" ht="15" hidden="false" customHeight="true" outlineLevel="0" collapsed="false">
      <c r="A316" s="7" t="n">
        <v>358</v>
      </c>
      <c r="B316" s="8" t="n">
        <v>45167</v>
      </c>
      <c r="C316" s="9" t="s">
        <v>6</v>
      </c>
      <c r="D316" s="10" t="s">
        <v>269</v>
      </c>
      <c r="E316" s="11" t="n">
        <v>586</v>
      </c>
      <c r="F316" s="12"/>
      <c r="G316" s="12" t="n">
        <v>4089</v>
      </c>
      <c r="H316" s="1" t="str">
        <f aca="false">VLOOKUP($E316,[1]ETB!$B$66:$C$674,2,0)</f>
        <v>Trade debtors</v>
      </c>
    </row>
    <row r="317" customFormat="false" ht="15" hidden="false" customHeight="true" outlineLevel="0" collapsed="false">
      <c r="A317" s="7" t="n">
        <v>171</v>
      </c>
      <c r="B317" s="8" t="n">
        <v>45124</v>
      </c>
      <c r="C317" s="9" t="s">
        <v>6</v>
      </c>
      <c r="D317" s="10" t="s">
        <v>270</v>
      </c>
      <c r="E317" s="11" t="n">
        <v>586</v>
      </c>
      <c r="F317" s="12"/>
      <c r="G317" s="12" t="n">
        <v>289</v>
      </c>
      <c r="H317" s="1" t="str">
        <f aca="false">VLOOKUP($E317,[1]ETB!$B$66:$C$674,2,0)</f>
        <v>Trade debtors</v>
      </c>
    </row>
    <row r="318" customFormat="false" ht="15" hidden="false" customHeight="true" outlineLevel="0" collapsed="false">
      <c r="A318" s="7" t="n">
        <v>361</v>
      </c>
      <c r="B318" s="8" t="n">
        <v>45168</v>
      </c>
      <c r="C318" s="9" t="s">
        <v>6</v>
      </c>
      <c r="D318" s="10" t="s">
        <v>271</v>
      </c>
      <c r="E318" s="11" t="n">
        <v>586</v>
      </c>
      <c r="F318" s="12"/>
      <c r="G318" s="12" t="n">
        <v>289</v>
      </c>
      <c r="H318" s="1" t="str">
        <f aca="false">VLOOKUP($E318,[1]ETB!$B$66:$C$674,2,0)</f>
        <v>Trade debtors</v>
      </c>
    </row>
    <row r="319" customFormat="false" ht="15" hidden="false" customHeight="true" outlineLevel="0" collapsed="false">
      <c r="A319" s="7" t="n">
        <v>318</v>
      </c>
      <c r="B319" s="8" t="n">
        <v>45180</v>
      </c>
      <c r="C319" s="9" t="s">
        <v>6</v>
      </c>
      <c r="D319" s="10" t="s">
        <v>271</v>
      </c>
      <c r="E319" s="11" t="n">
        <v>586</v>
      </c>
      <c r="F319" s="12"/>
      <c r="G319" s="12" t="n">
        <v>1700</v>
      </c>
      <c r="H319" s="1" t="str">
        <f aca="false">VLOOKUP($E319,[1]ETB!$B$66:$C$674,2,0)</f>
        <v>Trade debtors</v>
      </c>
    </row>
    <row r="320" customFormat="false" ht="15" hidden="false" customHeight="true" outlineLevel="0" collapsed="false">
      <c r="A320" s="7" t="n">
        <v>319</v>
      </c>
      <c r="B320" s="8" t="n">
        <v>44991</v>
      </c>
      <c r="C320" s="9" t="s">
        <v>6</v>
      </c>
      <c r="D320" s="10" t="s">
        <v>272</v>
      </c>
      <c r="E320" s="11" t="n">
        <v>586</v>
      </c>
      <c r="F320" s="12"/>
      <c r="G320" s="12" t="n">
        <v>1414</v>
      </c>
      <c r="H320" s="1" t="str">
        <f aca="false">VLOOKUP($E320,[1]ETB!$B$66:$C$674,2,0)</f>
        <v>Trade debtors</v>
      </c>
    </row>
    <row r="321" customFormat="false" ht="15" hidden="false" customHeight="true" outlineLevel="0" collapsed="false">
      <c r="A321" s="7" t="n">
        <v>317</v>
      </c>
      <c r="B321" s="8" t="n">
        <v>45217</v>
      </c>
      <c r="C321" s="9" t="s">
        <v>30</v>
      </c>
      <c r="D321" s="10" t="s">
        <v>273</v>
      </c>
      <c r="E321" s="11" t="n">
        <v>586</v>
      </c>
      <c r="F321" s="12"/>
      <c r="G321" s="12" t="n">
        <v>289</v>
      </c>
      <c r="H321" s="1" t="str">
        <f aca="false">VLOOKUP($E321,[1]ETB!$B$66:$C$674,2,0)</f>
        <v>Trade debtors</v>
      </c>
    </row>
    <row r="322" customFormat="false" ht="15" hidden="false" customHeight="true" outlineLevel="0" collapsed="false">
      <c r="A322" s="7" t="n">
        <v>321</v>
      </c>
      <c r="B322" s="8" t="n">
        <v>45217</v>
      </c>
      <c r="C322" s="9" t="s">
        <v>30</v>
      </c>
      <c r="D322" s="10" t="s">
        <v>273</v>
      </c>
      <c r="E322" s="11" t="n">
        <v>586</v>
      </c>
      <c r="F322" s="12"/>
      <c r="G322" s="12" t="n">
        <v>2000</v>
      </c>
      <c r="H322" s="1" t="str">
        <f aca="false">VLOOKUP($E322,[1]ETB!$B$66:$C$674,2,0)</f>
        <v>Trade debtors</v>
      </c>
    </row>
    <row r="323" customFormat="false" ht="15" hidden="false" customHeight="true" outlineLevel="0" collapsed="false">
      <c r="A323" s="7" t="n">
        <v>24</v>
      </c>
      <c r="B323" s="8" t="n">
        <v>44991</v>
      </c>
      <c r="C323" s="9" t="s">
        <v>6</v>
      </c>
      <c r="D323" s="10" t="s">
        <v>274</v>
      </c>
      <c r="E323" s="11" t="n">
        <v>586</v>
      </c>
      <c r="F323" s="12"/>
      <c r="G323" s="12" t="n">
        <v>1000</v>
      </c>
      <c r="H323" s="1" t="str">
        <f aca="false">VLOOKUP($E323,[1]ETB!$B$66:$C$674,2,0)</f>
        <v>Trade debtors</v>
      </c>
    </row>
    <row r="324" customFormat="false" ht="15" hidden="false" customHeight="true" outlineLevel="0" collapsed="false">
      <c r="A324" s="7" t="n">
        <v>60</v>
      </c>
      <c r="B324" s="8" t="n">
        <v>44991</v>
      </c>
      <c r="C324" s="9" t="s">
        <v>6</v>
      </c>
      <c r="D324" s="10" t="s">
        <v>275</v>
      </c>
      <c r="E324" s="11" t="n">
        <v>586</v>
      </c>
      <c r="F324" s="12"/>
      <c r="G324" s="12" t="n">
        <v>250</v>
      </c>
      <c r="H324" s="1" t="str">
        <f aca="false">VLOOKUP($E324,[1]ETB!$B$66:$C$674,2,0)</f>
        <v>Trade debtors</v>
      </c>
    </row>
    <row r="325" customFormat="false" ht="15" hidden="false" customHeight="true" outlineLevel="0" collapsed="false">
      <c r="A325" s="7" t="n">
        <v>66</v>
      </c>
      <c r="B325" s="8" t="n">
        <v>44991</v>
      </c>
      <c r="C325" s="9" t="s">
        <v>6</v>
      </c>
      <c r="D325" s="10" t="s">
        <v>275</v>
      </c>
      <c r="E325" s="11" t="n">
        <v>586</v>
      </c>
      <c r="F325" s="12"/>
      <c r="G325" s="12" t="n">
        <v>1000</v>
      </c>
      <c r="H325" s="1" t="str">
        <f aca="false">VLOOKUP($E325,[1]ETB!$B$66:$C$674,2,0)</f>
        <v>Trade debtors</v>
      </c>
    </row>
    <row r="326" customFormat="false" ht="15" hidden="false" customHeight="true" outlineLevel="0" collapsed="false">
      <c r="A326" s="7" t="n">
        <v>74</v>
      </c>
      <c r="B326" s="8" t="n">
        <v>44992</v>
      </c>
      <c r="C326" s="9" t="s">
        <v>6</v>
      </c>
      <c r="D326" s="10" t="s">
        <v>275</v>
      </c>
      <c r="E326" s="11" t="n">
        <v>586</v>
      </c>
      <c r="F326" s="12"/>
      <c r="G326" s="12" t="n">
        <v>914</v>
      </c>
      <c r="H326" s="1" t="str">
        <f aca="false">VLOOKUP($E326,[1]ETB!$B$66:$C$674,2,0)</f>
        <v>Trade debtors</v>
      </c>
    </row>
    <row r="327" customFormat="false" ht="15" hidden="false" customHeight="true" outlineLevel="0" collapsed="false">
      <c r="A327" s="7" t="n">
        <v>7</v>
      </c>
      <c r="B327" s="8" t="n">
        <v>44931</v>
      </c>
      <c r="C327" s="9" t="s">
        <v>6</v>
      </c>
      <c r="D327" s="10" t="s">
        <v>276</v>
      </c>
      <c r="E327" s="11" t="n">
        <v>586</v>
      </c>
      <c r="F327" s="12"/>
      <c r="G327" s="12" t="n">
        <v>2489</v>
      </c>
      <c r="H327" s="1" t="str">
        <f aca="false">VLOOKUP($E327,[1]ETB!$B$66:$C$674,2,0)</f>
        <v>Trade debtors</v>
      </c>
    </row>
    <row r="328" customFormat="false" ht="15" hidden="false" customHeight="true" outlineLevel="0" collapsed="false">
      <c r="A328" s="7" t="n">
        <v>261</v>
      </c>
      <c r="B328" s="8" t="n">
        <v>45028</v>
      </c>
      <c r="C328" s="9" t="s">
        <v>6</v>
      </c>
      <c r="D328" s="10" t="s">
        <v>277</v>
      </c>
      <c r="E328" s="11" t="n">
        <v>586</v>
      </c>
      <c r="F328" s="12"/>
      <c r="G328" s="12" t="n">
        <v>3750</v>
      </c>
      <c r="H328" s="1" t="str">
        <f aca="false">VLOOKUP($E328,[1]ETB!$B$66:$C$674,2,0)</f>
        <v>Trade debtors</v>
      </c>
    </row>
    <row r="329" customFormat="false" ht="15" hidden="false" customHeight="true" outlineLevel="0" collapsed="false">
      <c r="A329" s="7" t="n">
        <v>328</v>
      </c>
      <c r="B329" s="8" t="n">
        <v>45201</v>
      </c>
      <c r="C329" s="9" t="s">
        <v>6</v>
      </c>
      <c r="D329" s="10" t="s">
        <v>278</v>
      </c>
      <c r="E329" s="11" t="n">
        <v>586</v>
      </c>
      <c r="F329" s="12"/>
      <c r="G329" s="12" t="n">
        <v>1700</v>
      </c>
      <c r="H329" s="1" t="str">
        <f aca="false">VLOOKUP($E329,[1]ETB!$B$66:$C$674,2,0)</f>
        <v>Trade debtors</v>
      </c>
    </row>
    <row r="330" customFormat="false" ht="15" hidden="false" customHeight="true" outlineLevel="0" collapsed="false">
      <c r="A330" s="7" t="n">
        <v>193</v>
      </c>
      <c r="B330" s="8" t="n">
        <v>45022</v>
      </c>
      <c r="C330" s="9" t="s">
        <v>13</v>
      </c>
      <c r="D330" s="10" t="s">
        <v>279</v>
      </c>
      <c r="E330" s="11" t="n">
        <v>586</v>
      </c>
      <c r="F330" s="12"/>
      <c r="G330" s="12" t="n">
        <v>410</v>
      </c>
      <c r="H330" s="1" t="str">
        <f aca="false">VLOOKUP($E330,[1]ETB!$B$66:$C$674,2,0)</f>
        <v>Trade debtors</v>
      </c>
    </row>
    <row r="331" customFormat="false" ht="15" hidden="false" customHeight="true" outlineLevel="0" collapsed="false">
      <c r="A331" s="7" t="n">
        <v>95</v>
      </c>
      <c r="B331" s="8" t="n">
        <v>44939</v>
      </c>
      <c r="C331" s="9" t="s">
        <v>13</v>
      </c>
      <c r="D331" s="10" t="s">
        <v>280</v>
      </c>
      <c r="E331" s="11" t="n">
        <v>586</v>
      </c>
      <c r="F331" s="12"/>
      <c r="G331" s="12" t="n">
        <v>400</v>
      </c>
      <c r="H331" s="1" t="str">
        <f aca="false">VLOOKUP($E331,[1]ETB!$B$66:$C$674,2,0)</f>
        <v>Trade debtors</v>
      </c>
    </row>
    <row r="332" customFormat="false" ht="15" hidden="false" customHeight="true" outlineLevel="0" collapsed="false">
      <c r="A332" s="7" t="n">
        <v>104</v>
      </c>
      <c r="B332" s="8" t="n">
        <v>45001</v>
      </c>
      <c r="C332" s="9" t="s">
        <v>13</v>
      </c>
      <c r="D332" s="10" t="s">
        <v>281</v>
      </c>
      <c r="E332" s="11" t="n">
        <v>586</v>
      </c>
      <c r="F332" s="12"/>
      <c r="G332" s="12" t="n">
        <v>350</v>
      </c>
      <c r="H332" s="1" t="str">
        <f aca="false">VLOOKUP($E332,[1]ETB!$B$66:$C$674,2,0)</f>
        <v>Trade debtors</v>
      </c>
    </row>
    <row r="333" customFormat="false" ht="15" hidden="false" customHeight="true" outlineLevel="0" collapsed="false">
      <c r="A333" s="7" t="n">
        <v>128</v>
      </c>
      <c r="B333" s="8" t="n">
        <v>44916</v>
      </c>
      <c r="C333" s="9" t="s">
        <v>13</v>
      </c>
      <c r="D333" s="10" t="s">
        <v>282</v>
      </c>
      <c r="E333" s="11" t="n">
        <v>586</v>
      </c>
      <c r="F333" s="12"/>
      <c r="G333" s="12" t="n">
        <v>300</v>
      </c>
      <c r="H333" s="1" t="str">
        <f aca="false">VLOOKUP($E333,[1]ETB!$B$66:$C$674,2,0)</f>
        <v>Trade debtors</v>
      </c>
    </row>
    <row r="334" customFormat="false" ht="15" hidden="false" customHeight="true" outlineLevel="0" collapsed="false">
      <c r="A334" s="7" t="n">
        <v>142</v>
      </c>
      <c r="B334" s="8" t="n">
        <v>44916</v>
      </c>
      <c r="C334" s="9" t="s">
        <v>13</v>
      </c>
      <c r="D334" s="10" t="s">
        <v>282</v>
      </c>
      <c r="E334" s="11" t="n">
        <v>586</v>
      </c>
      <c r="F334" s="12"/>
      <c r="G334" s="12" t="n">
        <v>400</v>
      </c>
      <c r="H334" s="1" t="str">
        <f aca="false">VLOOKUP($E334,[1]ETB!$B$66:$C$674,2,0)</f>
        <v>Trade debtors</v>
      </c>
    </row>
    <row r="335" customFormat="false" ht="15" hidden="false" customHeight="true" outlineLevel="0" collapsed="false">
      <c r="A335" s="7" t="n">
        <v>323</v>
      </c>
      <c r="B335" s="8" t="n">
        <v>45040</v>
      </c>
      <c r="C335" s="9" t="s">
        <v>13</v>
      </c>
      <c r="D335" s="10" t="s">
        <v>283</v>
      </c>
      <c r="E335" s="11" t="n">
        <v>586</v>
      </c>
      <c r="F335" s="12"/>
      <c r="G335" s="12" t="n">
        <v>350</v>
      </c>
      <c r="H335" s="1" t="str">
        <f aca="false">VLOOKUP($E335,[1]ETB!$B$66:$C$674,2,0)</f>
        <v>Trade debtors</v>
      </c>
    </row>
    <row r="336" customFormat="false" ht="15" hidden="false" customHeight="true" outlineLevel="0" collapsed="false">
      <c r="A336" s="7" t="n">
        <v>330</v>
      </c>
      <c r="B336" s="8" t="n">
        <v>45042</v>
      </c>
      <c r="C336" s="9" t="s">
        <v>13</v>
      </c>
      <c r="D336" s="10" t="s">
        <v>284</v>
      </c>
      <c r="E336" s="11" t="n">
        <v>586</v>
      </c>
      <c r="F336" s="12"/>
      <c r="G336" s="12" t="n">
        <v>350</v>
      </c>
      <c r="H336" s="1" t="str">
        <f aca="false">VLOOKUP($E336,[1]ETB!$B$66:$C$674,2,0)</f>
        <v>Trade debtors</v>
      </c>
    </row>
    <row r="337" customFormat="false" ht="15" hidden="false" customHeight="true" outlineLevel="0" collapsed="false">
      <c r="A337" s="7" t="n">
        <v>304</v>
      </c>
      <c r="B337" s="8" t="n">
        <v>45015</v>
      </c>
      <c r="C337" s="9" t="s">
        <v>6</v>
      </c>
      <c r="D337" s="10" t="s">
        <v>285</v>
      </c>
      <c r="E337" s="11" t="n">
        <v>586</v>
      </c>
      <c r="F337" s="12"/>
      <c r="G337" s="12" t="n">
        <v>3909</v>
      </c>
      <c r="H337" s="1" t="str">
        <f aca="false">VLOOKUP($E337,[1]ETB!$B$66:$C$674,2,0)</f>
        <v>Trade debtors</v>
      </c>
    </row>
    <row r="338" customFormat="false" ht="15" hidden="false" customHeight="true" outlineLevel="0" collapsed="false">
      <c r="A338" s="7" t="n">
        <v>353</v>
      </c>
      <c r="B338" s="8" t="n">
        <v>45194</v>
      </c>
      <c r="C338" s="9" t="s">
        <v>6</v>
      </c>
      <c r="D338" s="10" t="s">
        <v>286</v>
      </c>
      <c r="E338" s="11" t="n">
        <v>586</v>
      </c>
      <c r="F338" s="12"/>
      <c r="G338" s="12" t="n">
        <v>4500</v>
      </c>
      <c r="H338" s="1" t="str">
        <f aca="false">VLOOKUP($E338,[1]ETB!$B$66:$C$674,2,0)</f>
        <v>Trade debtors</v>
      </c>
    </row>
    <row r="339" customFormat="false" ht="15" hidden="false" customHeight="true" outlineLevel="0" collapsed="false">
      <c r="A339" s="7" t="n">
        <v>354</v>
      </c>
      <c r="B339" s="8" t="n">
        <v>44998</v>
      </c>
      <c r="C339" s="9" t="s">
        <v>6</v>
      </c>
      <c r="D339" s="10" t="s">
        <v>287</v>
      </c>
      <c r="E339" s="11" t="n">
        <v>586</v>
      </c>
      <c r="F339" s="12"/>
      <c r="G339" s="12" t="n">
        <v>2189</v>
      </c>
      <c r="H339" s="1" t="str">
        <f aca="false">VLOOKUP($E339,[1]ETB!$B$66:$C$674,2,0)</f>
        <v>Trade debtors</v>
      </c>
    </row>
    <row r="340" customFormat="false" ht="15" hidden="false" customHeight="true" outlineLevel="0" collapsed="false">
      <c r="A340" s="7" t="n">
        <v>130</v>
      </c>
      <c r="B340" s="8" t="n">
        <v>45104</v>
      </c>
      <c r="C340" s="9" t="s">
        <v>6</v>
      </c>
      <c r="D340" s="10" t="s">
        <v>288</v>
      </c>
      <c r="E340" s="11" t="n">
        <v>586</v>
      </c>
      <c r="F340" s="12"/>
      <c r="G340" s="12" t="n">
        <v>289</v>
      </c>
      <c r="H340" s="1" t="str">
        <f aca="false">VLOOKUP($E340,[1]ETB!$B$66:$C$674,2,0)</f>
        <v>Trade debtors</v>
      </c>
    </row>
    <row r="341" customFormat="false" ht="15" hidden="false" customHeight="true" outlineLevel="0" collapsed="false">
      <c r="A341" s="7" t="n">
        <v>372</v>
      </c>
      <c r="B341" s="8" t="n">
        <v>45107</v>
      </c>
      <c r="C341" s="9" t="s">
        <v>6</v>
      </c>
      <c r="D341" s="10" t="s">
        <v>288</v>
      </c>
      <c r="E341" s="11" t="n">
        <v>586</v>
      </c>
      <c r="F341" s="12"/>
      <c r="G341" s="12" t="n">
        <v>3011</v>
      </c>
      <c r="H341" s="1" t="str">
        <f aca="false">VLOOKUP($E341,[1]ETB!$B$66:$C$674,2,0)</f>
        <v>Trade debtors</v>
      </c>
    </row>
    <row r="342" customFormat="false" ht="15" hidden="false" customHeight="true" outlineLevel="0" collapsed="false">
      <c r="A342" s="7" t="n">
        <v>270</v>
      </c>
      <c r="B342" s="8" t="n">
        <v>45162</v>
      </c>
      <c r="C342" s="9" t="s">
        <v>6</v>
      </c>
      <c r="D342" s="10" t="s">
        <v>289</v>
      </c>
      <c r="E342" s="11" t="n">
        <v>586</v>
      </c>
      <c r="F342" s="12"/>
      <c r="G342" s="12" t="n">
        <v>500</v>
      </c>
      <c r="H342" s="1" t="str">
        <f aca="false">VLOOKUP($E342,[1]ETB!$B$66:$C$674,2,0)</f>
        <v>Trade debtors</v>
      </c>
    </row>
    <row r="343" customFormat="false" ht="15" hidden="false" customHeight="true" outlineLevel="0" collapsed="false">
      <c r="A343" s="7" t="n">
        <v>282</v>
      </c>
      <c r="B343" s="8" t="n">
        <v>45163</v>
      </c>
      <c r="C343" s="9" t="s">
        <v>6</v>
      </c>
      <c r="D343" s="10" t="s">
        <v>290</v>
      </c>
      <c r="E343" s="11" t="n">
        <v>586</v>
      </c>
      <c r="F343" s="12"/>
      <c r="G343" s="12" t="n">
        <v>1540</v>
      </c>
      <c r="H343" s="1" t="str">
        <f aca="false">VLOOKUP($E343,[1]ETB!$B$66:$C$674,2,0)</f>
        <v>Trade debtors</v>
      </c>
    </row>
    <row r="344" customFormat="false" ht="15" hidden="false" customHeight="true" outlineLevel="0" collapsed="false">
      <c r="A344" s="7" t="n">
        <v>359</v>
      </c>
      <c r="B344" s="8" t="n">
        <v>45208</v>
      </c>
      <c r="C344" s="9" t="s">
        <v>6</v>
      </c>
      <c r="D344" s="10" t="s">
        <v>291</v>
      </c>
      <c r="E344" s="11" t="n">
        <v>586</v>
      </c>
      <c r="F344" s="12"/>
      <c r="G344" s="12" t="n">
        <v>1900</v>
      </c>
      <c r="H344" s="1" t="str">
        <f aca="false">VLOOKUP($E344,[1]ETB!$B$66:$C$674,2,0)</f>
        <v>Trade debtors</v>
      </c>
    </row>
    <row r="345" customFormat="false" ht="15" hidden="false" customHeight="true" outlineLevel="0" collapsed="false">
      <c r="A345" s="7" t="n">
        <v>360</v>
      </c>
      <c r="B345" s="8" t="n">
        <v>45077</v>
      </c>
      <c r="C345" s="9" t="s">
        <v>30</v>
      </c>
      <c r="D345" s="10" t="s">
        <v>292</v>
      </c>
      <c r="E345" s="11" t="n">
        <v>586</v>
      </c>
      <c r="F345" s="12"/>
      <c r="G345" s="12" t="n">
        <v>1750</v>
      </c>
      <c r="H345" s="1" t="str">
        <f aca="false">VLOOKUP($E345,[1]ETB!$B$66:$C$674,2,0)</f>
        <v>Trade debtors</v>
      </c>
    </row>
    <row r="346" customFormat="false" ht="15" hidden="false" customHeight="true" outlineLevel="0" collapsed="false">
      <c r="A346" s="7" t="n">
        <v>103</v>
      </c>
      <c r="B346" s="8" t="n">
        <v>45145</v>
      </c>
      <c r="C346" s="9" t="s">
        <v>6</v>
      </c>
      <c r="D346" s="10" t="s">
        <v>293</v>
      </c>
      <c r="E346" s="11" t="n">
        <v>586</v>
      </c>
      <c r="F346" s="12"/>
      <c r="G346" s="12" t="n">
        <v>300</v>
      </c>
      <c r="H346" s="1" t="str">
        <f aca="false">VLOOKUP($E346,[1]ETB!$B$66:$C$674,2,0)</f>
        <v>Trade debtors</v>
      </c>
    </row>
    <row r="347" customFormat="false" ht="15" hidden="false" customHeight="true" outlineLevel="0" collapsed="false">
      <c r="A347" s="7" t="n">
        <v>362</v>
      </c>
      <c r="B347" s="8" t="n">
        <v>45244</v>
      </c>
      <c r="C347" s="9" t="s">
        <v>6</v>
      </c>
      <c r="D347" s="10" t="s">
        <v>294</v>
      </c>
      <c r="E347" s="11" t="n">
        <v>586</v>
      </c>
      <c r="F347" s="12"/>
      <c r="G347" s="12" t="n">
        <v>3900</v>
      </c>
      <c r="H347" s="1" t="str">
        <f aca="false">VLOOKUP($E347,[1]ETB!$B$66:$C$674,2,0)</f>
        <v>Trade debtors</v>
      </c>
    </row>
    <row r="348" customFormat="false" ht="15" hidden="false" customHeight="true" outlineLevel="0" collapsed="false">
      <c r="A348" s="7" t="n">
        <v>266</v>
      </c>
      <c r="B348" s="8" t="n">
        <v>45189</v>
      </c>
      <c r="C348" s="9" t="s">
        <v>6</v>
      </c>
      <c r="D348" s="10" t="s">
        <v>295</v>
      </c>
      <c r="E348" s="11" t="n">
        <v>586</v>
      </c>
      <c r="F348" s="12"/>
      <c r="G348" s="12" t="n">
        <v>289</v>
      </c>
      <c r="H348" s="1" t="str">
        <f aca="false">VLOOKUP($E348,[1]ETB!$B$66:$C$674,2,0)</f>
        <v>Trade debtors</v>
      </c>
    </row>
    <row r="349" customFormat="false" ht="15" hidden="false" customHeight="true" outlineLevel="0" collapsed="false">
      <c r="A349" s="7" t="n">
        <v>364</v>
      </c>
      <c r="B349" s="8" t="n">
        <v>45195</v>
      </c>
      <c r="C349" s="9" t="s">
        <v>6</v>
      </c>
      <c r="D349" s="10" t="s">
        <v>295</v>
      </c>
      <c r="E349" s="11" t="n">
        <v>586</v>
      </c>
      <c r="F349" s="12"/>
      <c r="G349" s="12" t="n">
        <v>2700</v>
      </c>
      <c r="H349" s="1" t="str">
        <f aca="false">VLOOKUP($E349,[1]ETB!$B$66:$C$674,2,0)</f>
        <v>Trade debtors</v>
      </c>
    </row>
    <row r="350" customFormat="false" ht="15" hidden="false" customHeight="true" outlineLevel="0" collapsed="false">
      <c r="A350" s="7" t="n">
        <v>336</v>
      </c>
      <c r="B350" s="8" t="n">
        <v>44915</v>
      </c>
      <c r="C350" s="9" t="s">
        <v>6</v>
      </c>
      <c r="D350" s="10" t="s">
        <v>296</v>
      </c>
      <c r="E350" s="11" t="n">
        <v>586</v>
      </c>
      <c r="F350" s="12"/>
      <c r="G350" s="12" t="n">
        <v>550</v>
      </c>
      <c r="H350" s="1" t="str">
        <f aca="false">VLOOKUP($E350,[1]ETB!$B$66:$C$674,2,0)</f>
        <v>Trade debtors</v>
      </c>
    </row>
    <row r="351" customFormat="false" ht="15" hidden="false" customHeight="true" outlineLevel="0" collapsed="false">
      <c r="A351" s="7" t="n">
        <v>292</v>
      </c>
      <c r="B351" s="8" t="n">
        <v>45257</v>
      </c>
      <c r="C351" s="9" t="s">
        <v>6</v>
      </c>
      <c r="D351" s="10" t="s">
        <v>297</v>
      </c>
      <c r="E351" s="11" t="n">
        <v>586</v>
      </c>
      <c r="F351" s="12"/>
      <c r="G351" s="12" t="n">
        <v>3000</v>
      </c>
      <c r="H351" s="1" t="str">
        <f aca="false">VLOOKUP($E351,[1]ETB!$B$66:$C$674,2,0)</f>
        <v>Trade debtors</v>
      </c>
    </row>
    <row r="352" customFormat="false" ht="15" hidden="false" customHeight="true" outlineLevel="0" collapsed="false">
      <c r="A352" s="7" t="n">
        <v>137</v>
      </c>
      <c r="B352" s="8" t="n">
        <v>45114</v>
      </c>
      <c r="C352" s="9" t="s">
        <v>6</v>
      </c>
      <c r="D352" s="20" t="s">
        <v>298</v>
      </c>
      <c r="E352" s="11" t="n">
        <v>586</v>
      </c>
      <c r="F352" s="12"/>
      <c r="G352" s="12" t="n">
        <v>289</v>
      </c>
      <c r="H352" s="1" t="str">
        <f aca="false">VLOOKUP($E352,[1]ETB!$B$66:$C$674,2,0)</f>
        <v>Trade debtors</v>
      </c>
    </row>
    <row r="353" customFormat="false" ht="15" hidden="false" customHeight="true" outlineLevel="0" collapsed="false">
      <c r="A353" s="7" t="n">
        <v>368</v>
      </c>
      <c r="B353" s="8" t="n">
        <v>45118</v>
      </c>
      <c r="C353" s="9" t="s">
        <v>6</v>
      </c>
      <c r="D353" s="10" t="s">
        <v>298</v>
      </c>
      <c r="E353" s="11" t="n">
        <v>586</v>
      </c>
      <c r="F353" s="12"/>
      <c r="G353" s="12" t="n">
        <v>1400</v>
      </c>
      <c r="H353" s="1" t="str">
        <f aca="false">VLOOKUP($E353,[1]ETB!$B$66:$C$674,2,0)</f>
        <v>Trade debtors</v>
      </c>
    </row>
    <row r="354" customFormat="false" ht="15" hidden="false" customHeight="true" outlineLevel="0" collapsed="false">
      <c r="A354" s="7" t="n">
        <v>152</v>
      </c>
      <c r="B354" s="8" t="n">
        <v>45145</v>
      </c>
      <c r="C354" s="9" t="s">
        <v>6</v>
      </c>
      <c r="D354" s="10" t="s">
        <v>299</v>
      </c>
      <c r="E354" s="11" t="n">
        <v>586</v>
      </c>
      <c r="F354" s="12"/>
      <c r="G354" s="12" t="n">
        <v>3889</v>
      </c>
      <c r="H354" s="1" t="str">
        <f aca="false">VLOOKUP($E354,[1]ETB!$B$66:$C$674,2,0)</f>
        <v>Trade debtors</v>
      </c>
    </row>
    <row r="355" customFormat="false" ht="15" hidden="false" customHeight="true" outlineLevel="0" collapsed="false">
      <c r="A355" s="7" t="n">
        <v>187</v>
      </c>
      <c r="B355" s="8" t="n">
        <v>45138</v>
      </c>
      <c r="C355" s="9" t="s">
        <v>6</v>
      </c>
      <c r="D355" s="10" t="s">
        <v>300</v>
      </c>
      <c r="E355" s="11" t="n">
        <v>586</v>
      </c>
      <c r="F355" s="12"/>
      <c r="G355" s="12" t="n">
        <v>289</v>
      </c>
      <c r="H355" s="1" t="str">
        <f aca="false">VLOOKUP($E355,[1]ETB!$B$66:$C$674,2,0)</f>
        <v>Trade debtors</v>
      </c>
    </row>
    <row r="356" customFormat="false" ht="15" hidden="false" customHeight="true" outlineLevel="0" collapsed="false">
      <c r="A356" s="7" t="n">
        <v>203</v>
      </c>
      <c r="B356" s="8" t="n">
        <v>45149</v>
      </c>
      <c r="C356" s="9" t="s">
        <v>6</v>
      </c>
      <c r="D356" s="10" t="s">
        <v>301</v>
      </c>
      <c r="E356" s="11" t="n">
        <v>586</v>
      </c>
      <c r="F356" s="12"/>
      <c r="G356" s="12" t="n">
        <v>3200</v>
      </c>
      <c r="H356" s="1" t="str">
        <f aca="false">VLOOKUP($E356,[1]ETB!$B$66:$C$674,2,0)</f>
        <v>Trade debtors</v>
      </c>
    </row>
    <row r="357" customFormat="false" ht="15" hidden="false" customHeight="true" outlineLevel="0" collapsed="false">
      <c r="A357" s="7" t="n">
        <v>13</v>
      </c>
      <c r="B357" s="8" t="n">
        <v>45048</v>
      </c>
      <c r="C357" s="9" t="s">
        <v>6</v>
      </c>
      <c r="D357" s="10" t="s">
        <v>302</v>
      </c>
      <c r="E357" s="11" t="n">
        <v>586</v>
      </c>
      <c r="F357" s="12"/>
      <c r="G357" s="12" t="n">
        <v>789</v>
      </c>
      <c r="H357" s="1" t="str">
        <f aca="false">VLOOKUP($E357,[1]ETB!$B$66:$C$674,2,0)</f>
        <v>Trade debtors</v>
      </c>
    </row>
    <row r="358" customFormat="false" ht="15" hidden="false" customHeight="true" outlineLevel="0" collapsed="false">
      <c r="A358" s="7"/>
      <c r="B358" s="8"/>
      <c r="C358" s="9"/>
      <c r="D358" s="10"/>
      <c r="E358" s="17" t="s">
        <v>303</v>
      </c>
      <c r="F358" s="18" t="n">
        <f aca="false">SUBTOTAL(9,F54:F356)</f>
        <v>0</v>
      </c>
      <c r="G358" s="18" t="n">
        <f aca="false">SUBTOTAL(9,G54:G356)</f>
        <v>558741.8</v>
      </c>
    </row>
    <row r="359" customFormat="false" ht="15" hidden="false" customHeight="true" outlineLevel="0" collapsed="false">
      <c r="A359" s="7" t="n">
        <v>111</v>
      </c>
      <c r="B359" s="8" t="n">
        <v>45019</v>
      </c>
      <c r="C359" s="9" t="s">
        <v>6</v>
      </c>
      <c r="D359" s="10" t="s">
        <v>304</v>
      </c>
      <c r="E359" s="11" t="n">
        <v>586.1</v>
      </c>
      <c r="F359" s="12"/>
      <c r="G359" s="12" t="n">
        <v>250</v>
      </c>
      <c r="H359" s="1" t="s">
        <v>305</v>
      </c>
    </row>
    <row r="360" customFormat="false" ht="15" hidden="false" customHeight="true" outlineLevel="0" collapsed="false">
      <c r="A360" s="7" t="n">
        <v>174</v>
      </c>
      <c r="B360" s="8" t="n">
        <v>45021</v>
      </c>
      <c r="C360" s="9" t="s">
        <v>30</v>
      </c>
      <c r="D360" s="10" t="s">
        <v>306</v>
      </c>
      <c r="E360" s="11" t="n">
        <v>586.1</v>
      </c>
      <c r="F360" s="12"/>
      <c r="G360" s="12" t="n">
        <v>1500</v>
      </c>
      <c r="H360" s="1" t="s">
        <v>305</v>
      </c>
    </row>
    <row r="361" customFormat="false" ht="15" hidden="false" customHeight="true" outlineLevel="0" collapsed="false">
      <c r="A361" s="7" t="n">
        <v>26</v>
      </c>
      <c r="B361" s="8" t="n">
        <v>44900</v>
      </c>
      <c r="C361" s="9" t="s">
        <v>6</v>
      </c>
      <c r="D361" s="10" t="s">
        <v>307</v>
      </c>
      <c r="E361" s="11" t="n">
        <v>586.1</v>
      </c>
      <c r="F361" s="12"/>
      <c r="G361" s="12" t="n">
        <v>250</v>
      </c>
      <c r="H361" s="1" t="s">
        <v>305</v>
      </c>
    </row>
    <row r="362" customFormat="false" ht="15" hidden="false" customHeight="true" outlineLevel="0" collapsed="false">
      <c r="A362" s="7"/>
      <c r="B362" s="8"/>
      <c r="C362" s="9"/>
      <c r="D362" s="10"/>
      <c r="E362" s="17" t="s">
        <v>308</v>
      </c>
      <c r="F362" s="18" t="n">
        <f aca="false">SUBTOTAL(9,F358:F360)</f>
        <v>0</v>
      </c>
      <c r="G362" s="18" t="n">
        <f aca="false">SUBTOTAL(9,G358:G360)</f>
        <v>1750</v>
      </c>
    </row>
    <row r="363" customFormat="false" ht="15" hidden="false" customHeight="true" outlineLevel="0" collapsed="false">
      <c r="A363" s="7" t="n">
        <v>22</v>
      </c>
      <c r="B363" s="8" t="n">
        <v>45194</v>
      </c>
      <c r="C363" s="9" t="s">
        <v>6</v>
      </c>
      <c r="D363" s="10" t="s">
        <v>309</v>
      </c>
      <c r="E363" s="11" t="n">
        <v>668</v>
      </c>
      <c r="F363" s="12"/>
      <c r="G363" s="12" t="n">
        <v>289</v>
      </c>
      <c r="H363" s="1" t="str">
        <f aca="false">VLOOKUP($E363,[1]ETB!$B$66:$C$674,2,0)</f>
        <v>Cash in hand</v>
      </c>
    </row>
    <row r="364" customFormat="false" ht="15" hidden="false" customHeight="true" outlineLevel="0" collapsed="false">
      <c r="A364" s="7" t="n">
        <v>55</v>
      </c>
      <c r="B364" s="8" t="n">
        <v>45119</v>
      </c>
      <c r="C364" s="9" t="s">
        <v>6</v>
      </c>
      <c r="D364" s="10" t="s">
        <v>310</v>
      </c>
      <c r="E364" s="11" t="n">
        <v>668</v>
      </c>
      <c r="F364" s="12"/>
      <c r="G364" s="12" t="n">
        <v>289</v>
      </c>
      <c r="H364" s="1" t="str">
        <f aca="false">VLOOKUP($E364,[1]ETB!$B$66:$C$674,2,0)</f>
        <v>Cash in hand</v>
      </c>
    </row>
    <row r="365" customFormat="false" ht="15" hidden="false" customHeight="true" outlineLevel="0" collapsed="false">
      <c r="A365" s="7" t="n">
        <v>35</v>
      </c>
      <c r="B365" s="8" t="n">
        <v>45121</v>
      </c>
      <c r="C365" s="9" t="s">
        <v>6</v>
      </c>
      <c r="D365" s="10" t="s">
        <v>310</v>
      </c>
      <c r="E365" s="11" t="n">
        <v>668</v>
      </c>
      <c r="F365" s="12"/>
      <c r="G365" s="12" t="n">
        <v>2500</v>
      </c>
      <c r="H365" s="1" t="str">
        <f aca="false">VLOOKUP($E365,[1]ETB!$B$66:$C$674,2,0)</f>
        <v>Cash in hand</v>
      </c>
    </row>
    <row r="366" customFormat="false" ht="15" hidden="false" customHeight="true" outlineLevel="0" collapsed="false">
      <c r="A366" s="7" t="n">
        <v>184</v>
      </c>
      <c r="B366" s="8" t="n">
        <v>45167</v>
      </c>
      <c r="C366" s="9" t="s">
        <v>6</v>
      </c>
      <c r="D366" s="10" t="s">
        <v>311</v>
      </c>
      <c r="E366" s="11" t="n">
        <v>668</v>
      </c>
      <c r="F366" s="12"/>
      <c r="G366" s="12" t="n">
        <v>1989</v>
      </c>
      <c r="H366" s="1" t="str">
        <f aca="false">VLOOKUP($E366,[1]ETB!$B$66:$C$674,2,0)</f>
        <v>Cash in hand</v>
      </c>
    </row>
    <row r="367" customFormat="false" ht="15" hidden="false" customHeight="true" outlineLevel="0" collapsed="false">
      <c r="A367" s="7" t="n">
        <v>94</v>
      </c>
      <c r="B367" s="8" t="n">
        <v>44977</v>
      </c>
      <c r="C367" s="9" t="s">
        <v>6</v>
      </c>
      <c r="D367" s="10" t="s">
        <v>312</v>
      </c>
      <c r="E367" s="11" t="n">
        <v>668</v>
      </c>
      <c r="F367" s="12"/>
      <c r="G367" s="12" t="n">
        <v>250</v>
      </c>
      <c r="H367" s="1" t="str">
        <f aca="false">VLOOKUP($E367,[1]ETB!$B$66:$C$674,2,0)</f>
        <v>Cash in hand</v>
      </c>
    </row>
    <row r="368" customFormat="false" ht="15" hidden="false" customHeight="true" outlineLevel="0" collapsed="false">
      <c r="A368" s="7" t="n">
        <v>116</v>
      </c>
      <c r="B368" s="8" t="n">
        <v>44914</v>
      </c>
      <c r="C368" s="9" t="s">
        <v>6</v>
      </c>
      <c r="D368" s="10" t="s">
        <v>313</v>
      </c>
      <c r="E368" s="11" t="n">
        <v>668</v>
      </c>
      <c r="F368" s="12"/>
      <c r="G368" s="12" t="n">
        <v>240</v>
      </c>
      <c r="H368" s="1" t="str">
        <f aca="false">VLOOKUP($E368,[1]ETB!$B$66:$C$674,2,0)</f>
        <v>Cash in hand</v>
      </c>
    </row>
    <row r="369" customFormat="false" ht="15" hidden="false" customHeight="true" outlineLevel="0" collapsed="false">
      <c r="A369" s="7" t="n">
        <v>195</v>
      </c>
      <c r="B369" s="8" t="n">
        <v>45183</v>
      </c>
      <c r="C369" s="9" t="s">
        <v>6</v>
      </c>
      <c r="D369" s="10" t="s">
        <v>314</v>
      </c>
      <c r="E369" s="11" t="n">
        <v>668</v>
      </c>
      <c r="F369" s="19"/>
      <c r="G369" s="12" t="n">
        <v>280</v>
      </c>
      <c r="H369" s="1" t="str">
        <f aca="false">VLOOKUP($E369,[1]ETB!$B$66:$C$674,2,0)</f>
        <v>Cash in hand</v>
      </c>
    </row>
    <row r="370" customFormat="false" ht="15" hidden="false" customHeight="true" outlineLevel="0" collapsed="false">
      <c r="A370" s="7" t="n">
        <v>200</v>
      </c>
      <c r="B370" s="8" t="n">
        <v>45055</v>
      </c>
      <c r="C370" s="9" t="s">
        <v>6</v>
      </c>
      <c r="D370" s="10" t="s">
        <v>315</v>
      </c>
      <c r="E370" s="11" t="n">
        <v>668</v>
      </c>
      <c r="F370" s="12"/>
      <c r="G370" s="12" t="n">
        <v>2400</v>
      </c>
      <c r="H370" s="1" t="str">
        <f aca="false">VLOOKUP($E370,[1]ETB!$B$66:$C$674,2,0)</f>
        <v>Cash in hand</v>
      </c>
    </row>
    <row r="371" customFormat="false" ht="15" hidden="false" customHeight="true" outlineLevel="0" collapsed="false">
      <c r="A371" s="7" t="n">
        <v>201</v>
      </c>
      <c r="B371" s="8" t="n">
        <v>45259</v>
      </c>
      <c r="C371" s="9" t="s">
        <v>6</v>
      </c>
      <c r="D371" s="10" t="s">
        <v>316</v>
      </c>
      <c r="E371" s="11" t="n">
        <v>668</v>
      </c>
      <c r="F371" s="12"/>
      <c r="G371" s="12" t="n">
        <v>489</v>
      </c>
      <c r="H371" s="1" t="str">
        <f aca="false">VLOOKUP($E371,[1]ETB!$B$66:$C$674,2,0)</f>
        <v>Cash in hand</v>
      </c>
    </row>
    <row r="372" customFormat="false" ht="15" hidden="false" customHeight="true" outlineLevel="0" collapsed="false">
      <c r="A372" s="7" t="n">
        <v>222</v>
      </c>
      <c r="B372" s="8" t="n">
        <v>45118</v>
      </c>
      <c r="C372" s="9" t="s">
        <v>6</v>
      </c>
      <c r="D372" s="10" t="s">
        <v>317</v>
      </c>
      <c r="E372" s="11" t="n">
        <v>668</v>
      </c>
      <c r="F372" s="12"/>
      <c r="G372" s="12" t="n">
        <v>2800</v>
      </c>
      <c r="H372" s="1" t="str">
        <f aca="false">VLOOKUP($E372,[1]ETB!$B$66:$C$674,2,0)</f>
        <v>Cash in hand</v>
      </c>
    </row>
    <row r="373" customFormat="false" ht="15" hidden="false" customHeight="true" outlineLevel="0" collapsed="false">
      <c r="A373" s="7" t="n">
        <v>284</v>
      </c>
      <c r="B373" s="8" t="n">
        <v>45126</v>
      </c>
      <c r="C373" s="9" t="s">
        <v>6</v>
      </c>
      <c r="D373" s="10" t="s">
        <v>318</v>
      </c>
      <c r="E373" s="11" t="n">
        <v>668</v>
      </c>
      <c r="F373" s="12"/>
      <c r="G373" s="12" t="n">
        <v>289</v>
      </c>
      <c r="H373" s="1" t="str">
        <f aca="false">VLOOKUP($E373,[1]ETB!$B$66:$C$674,2,0)</f>
        <v>Cash in hand</v>
      </c>
    </row>
    <row r="374" customFormat="false" ht="15" hidden="false" customHeight="true" outlineLevel="0" collapsed="false">
      <c r="A374" s="7" t="n">
        <v>290</v>
      </c>
      <c r="B374" s="8" t="n">
        <v>45131</v>
      </c>
      <c r="C374" s="9" t="s">
        <v>6</v>
      </c>
      <c r="D374" s="10" t="s">
        <v>319</v>
      </c>
      <c r="E374" s="11" t="n">
        <v>668</v>
      </c>
      <c r="F374" s="12"/>
      <c r="G374" s="12" t="n">
        <v>2551</v>
      </c>
      <c r="H374" s="1" t="str">
        <f aca="false">VLOOKUP($E374,[1]ETB!$B$66:$C$674,2,0)</f>
        <v>Cash in hand</v>
      </c>
    </row>
    <row r="375" customFormat="false" ht="15" hidden="false" customHeight="true" outlineLevel="0" collapsed="false">
      <c r="A375" s="7" t="n">
        <v>296</v>
      </c>
      <c r="B375" s="8" t="n">
        <v>45009</v>
      </c>
      <c r="C375" s="9" t="s">
        <v>6</v>
      </c>
      <c r="D375" s="10" t="s">
        <v>320</v>
      </c>
      <c r="E375" s="11" t="n">
        <v>668</v>
      </c>
      <c r="F375" s="12"/>
      <c r="G375" s="12" t="n">
        <v>400</v>
      </c>
      <c r="H375" s="1" t="str">
        <f aca="false">VLOOKUP($E375,[1]ETB!$B$66:$C$674,2,0)</f>
        <v>Cash in hand</v>
      </c>
    </row>
    <row r="376" customFormat="false" ht="15" hidden="false" customHeight="true" outlineLevel="0" collapsed="false">
      <c r="A376" s="7" t="n">
        <v>309</v>
      </c>
      <c r="B376" s="8" t="n">
        <v>45232</v>
      </c>
      <c r="C376" s="9" t="s">
        <v>6</v>
      </c>
      <c r="D376" s="10" t="s">
        <v>321</v>
      </c>
      <c r="E376" s="11" t="n">
        <v>668</v>
      </c>
      <c r="F376" s="12"/>
      <c r="G376" s="12" t="n">
        <v>480</v>
      </c>
      <c r="H376" s="1" t="str">
        <f aca="false">VLOOKUP($E376,[1]ETB!$B$66:$C$674,2,0)</f>
        <v>Cash in hand</v>
      </c>
    </row>
    <row r="377" customFormat="false" ht="15" hidden="false" customHeight="true" outlineLevel="0" collapsed="false">
      <c r="A377" s="7" t="n">
        <v>341</v>
      </c>
      <c r="B377" s="8" t="n">
        <v>45229</v>
      </c>
      <c r="C377" s="9" t="s">
        <v>6</v>
      </c>
      <c r="D377" s="10" t="s">
        <v>322</v>
      </c>
      <c r="E377" s="11" t="n">
        <v>668</v>
      </c>
      <c r="F377" s="12"/>
      <c r="G377" s="12" t="n">
        <v>500</v>
      </c>
      <c r="H377" s="1" t="str">
        <f aca="false">VLOOKUP($E377,[1]ETB!$B$66:$C$674,2,0)</f>
        <v>Cash in hand</v>
      </c>
    </row>
    <row r="378" customFormat="false" ht="15" hidden="false" customHeight="true" outlineLevel="0" collapsed="false">
      <c r="A378" s="7"/>
      <c r="B378" s="8"/>
      <c r="C378" s="9"/>
      <c r="D378" s="10"/>
      <c r="E378" s="17" t="s">
        <v>323</v>
      </c>
      <c r="F378" s="18" t="n">
        <f aca="false">SUBTOTAL(9,F357:F376)</f>
        <v>0</v>
      </c>
      <c r="G378" s="18" t="n">
        <f aca="false">SUBTOTAL(9,G357:G376)</f>
        <v>18035</v>
      </c>
    </row>
    <row r="379" customFormat="false" ht="15" hidden="false" customHeight="true" outlineLevel="0" collapsed="false">
      <c r="A379" s="7" t="n">
        <v>8</v>
      </c>
      <c r="B379" s="8" t="n">
        <v>44890</v>
      </c>
      <c r="C379" s="9" t="s">
        <v>30</v>
      </c>
      <c r="D379" s="10" t="s">
        <v>324</v>
      </c>
      <c r="E379" s="11" t="n">
        <v>727</v>
      </c>
      <c r="F379" s="12"/>
      <c r="G379" s="12" t="n">
        <v>7000</v>
      </c>
      <c r="H379" s="1" t="str">
        <f aca="false">VLOOKUP($E379,[1]ETB!$B$66:$C$674,2,0)</f>
        <v>Director's current account</v>
      </c>
    </row>
    <row r="381" customFormat="false" ht="15" hidden="false" customHeight="true" outlineLevel="0" collapsed="false">
      <c r="A381" s="7"/>
      <c r="B381" s="13"/>
      <c r="C381" s="14"/>
      <c r="E381" s="15" t="s">
        <v>325</v>
      </c>
      <c r="F381" s="16" t="n">
        <f aca="false">SUBTOTAL(9,F281:F379)</f>
        <v>0</v>
      </c>
      <c r="G381" s="16" t="n">
        <f aca="false">SUBTOTAL(9,G281:G379)</f>
        <v>167148</v>
      </c>
    </row>
    <row r="382" customFormat="false" ht="15" hidden="false" customHeight="true" outlineLevel="0" collapsed="false">
      <c r="A382" s="7" t="n">
        <v>131</v>
      </c>
      <c r="B382" s="8" t="n">
        <v>45204</v>
      </c>
      <c r="C382" s="9" t="s">
        <v>6</v>
      </c>
      <c r="D382" s="20" t="s">
        <v>326</v>
      </c>
      <c r="E382" s="11" t="n">
        <v>735</v>
      </c>
      <c r="F382" s="19"/>
      <c r="G382" s="12" t="n">
        <v>1124.76</v>
      </c>
      <c r="H382" s="1" t="str">
        <f aca="false">VLOOKUP($E382,[1]ETB!$B$66:$C$674,2,0)</f>
        <v>VAT</v>
      </c>
    </row>
    <row r="383" customFormat="false" ht="15" hidden="false" customHeight="true" outlineLevel="0" collapsed="false">
      <c r="A383" s="7"/>
      <c r="B383" s="8"/>
      <c r="C383" s="9"/>
      <c r="D383" s="20"/>
      <c r="E383" s="17" t="s">
        <v>327</v>
      </c>
      <c r="F383" s="21" t="n">
        <f aca="false">SUBTOTAL(9,F379:F381)</f>
        <v>0</v>
      </c>
      <c r="G383" s="18" t="n">
        <f aca="false">SUBTOTAL(9,G379:G381)</f>
        <v>7000</v>
      </c>
    </row>
    <row r="384" customFormat="false" ht="15" hidden="false" customHeight="true" outlineLevel="0" collapsed="false">
      <c r="A384" s="7" t="n">
        <v>10</v>
      </c>
      <c r="B384" s="8" t="n">
        <v>45111</v>
      </c>
      <c r="C384" s="9" t="s">
        <v>13</v>
      </c>
      <c r="D384" s="10" t="s">
        <v>328</v>
      </c>
      <c r="E384" s="11" t="n">
        <v>737</v>
      </c>
      <c r="F384" s="12"/>
      <c r="G384" s="12" t="n">
        <v>505.74</v>
      </c>
      <c r="H384" s="1" t="str">
        <f aca="false">VLOOKUP($E384,[1]ETB!$B$66:$C$674,2,0)</f>
        <v>Trade creditors</v>
      </c>
    </row>
    <row r="385" customFormat="false" ht="15" hidden="false" customHeight="true" outlineLevel="0" collapsed="false">
      <c r="A385" s="7" t="n">
        <v>84</v>
      </c>
      <c r="B385" s="8" t="n">
        <v>45176</v>
      </c>
      <c r="C385" s="9" t="s">
        <v>329</v>
      </c>
      <c r="D385" s="10" t="s">
        <v>330</v>
      </c>
      <c r="E385" s="11" t="n">
        <v>737</v>
      </c>
      <c r="F385" s="12"/>
      <c r="G385" s="12" t="n">
        <v>138.07</v>
      </c>
      <c r="H385" s="1" t="str">
        <f aca="false">VLOOKUP($E385,[1]ETB!$B$66:$C$674,2,0)</f>
        <v>Trade creditors</v>
      </c>
    </row>
    <row r="386" customFormat="false" ht="15" hidden="false" customHeight="true" outlineLevel="0" collapsed="false">
      <c r="A386" s="7"/>
      <c r="B386" s="13"/>
      <c r="C386" s="14"/>
      <c r="E386" s="15" t="s">
        <v>331</v>
      </c>
      <c r="F386" s="16" t="e">
        <f aca="false">SUBTOTAL(9,#REF!)</f>
        <v>#REF!</v>
      </c>
      <c r="G386" s="16" t="e">
        <f aca="false">SUBTOTAL(9,#REF!)</f>
        <v>#REF!</v>
      </c>
    </row>
    <row r="387" customFormat="false" ht="14.25" hidden="false" customHeight="true" outlineLevel="0" collapsed="false">
      <c r="A387" s="7"/>
      <c r="B387" s="8"/>
      <c r="C387" s="9"/>
      <c r="D387" s="10"/>
      <c r="E387" s="17" t="s">
        <v>332</v>
      </c>
      <c r="F387" s="18" t="n">
        <f aca="false">SUBTOTAL(9,F376:F385)</f>
        <v>0</v>
      </c>
      <c r="G387" s="18" t="n">
        <f aca="false">SUBTOTAL(9,G376:G385)</f>
        <v>9748.57</v>
      </c>
    </row>
    <row r="388" customFormat="false" ht="13.5" hidden="false" customHeight="true" outlineLevel="0" collapsed="false">
      <c r="A388" s="7"/>
      <c r="B388" s="8"/>
      <c r="C388" s="9"/>
      <c r="D388" s="10"/>
      <c r="E388" s="11"/>
      <c r="F388" s="12"/>
      <c r="G388" s="12"/>
    </row>
    <row r="389" customFormat="false" ht="13.5" hidden="false" customHeight="true" outlineLevel="0" collapsed="false">
      <c r="A389" s="7"/>
      <c r="B389" s="8"/>
      <c r="C389" s="9"/>
      <c r="D389" s="10"/>
      <c r="E389" s="22" t="s">
        <v>333</v>
      </c>
      <c r="F389" s="23" t="e">
        <f aca="false">SUBTOTAL(9,#REF!)</f>
        <v>#REF!</v>
      </c>
      <c r="G389" s="23" t="e">
        <f aca="false">SUBTOTAL(9,#REF!)</f>
        <v>#REF!</v>
      </c>
    </row>
    <row r="390" customFormat="false" ht="13.5" hidden="false" customHeight="true" outlineLevel="0" collapsed="false"/>
    <row r="1047178" customFormat="false" ht="15" hidden="false" customHeight="false" outlineLevel="0" collapsed="false"/>
    <row r="1047179" customFormat="false" ht="15" hidden="false" customHeight="false" outlineLevel="0" collapsed="false"/>
    <row r="1047180" customFormat="false" ht="15" hidden="false" customHeight="false" outlineLevel="0" collapsed="false"/>
    <row r="1047181" customFormat="false" ht="15" hidden="false" customHeight="false" outlineLevel="0" collapsed="false"/>
    <row r="1047182" customFormat="false" ht="15" hidden="false" customHeight="false" outlineLevel="0" collapsed="false"/>
    <row r="1047183" customFormat="false" ht="15" hidden="false" customHeight="false" outlineLevel="0" collapsed="false"/>
    <row r="1047184" customFormat="false" ht="15" hidden="false" customHeight="false" outlineLevel="0" collapsed="false"/>
    <row r="1047185" customFormat="false" ht="15" hidden="false" customHeight="false" outlineLevel="0" collapsed="false"/>
    <row r="1047186" customFormat="false" ht="15" hidden="false" customHeight="false" outlineLevel="0" collapsed="false"/>
    <row r="1047187" customFormat="false" ht="15" hidden="false" customHeight="false" outlineLevel="0" collapsed="false"/>
    <row r="1047188" customFormat="false" ht="15" hidden="false" customHeight="false" outlineLevel="0" collapsed="false"/>
    <row r="1047189" customFormat="false" ht="15" hidden="false" customHeight="false" outlineLevel="0" collapsed="false"/>
    <row r="1047190" customFormat="false" ht="15" hidden="false" customHeight="false" outlineLevel="0" collapsed="false"/>
    <row r="1047191" customFormat="false" ht="15" hidden="false" customHeight="false" outlineLevel="0" collapsed="false"/>
    <row r="1047192" customFormat="false" ht="15" hidden="false" customHeight="false" outlineLevel="0" collapsed="false"/>
    <row r="1047193" customFormat="false" ht="15" hidden="false" customHeight="false" outlineLevel="0" collapsed="false"/>
    <row r="1047194" customFormat="false" ht="15" hidden="false" customHeight="false" outlineLevel="0" collapsed="false"/>
    <row r="1047195" customFormat="false" ht="15" hidden="false" customHeight="false" outlineLevel="0" collapsed="false"/>
    <row r="1047196" customFormat="false" ht="15" hidden="false" customHeight="false" outlineLevel="0" collapsed="false"/>
    <row r="1047197" customFormat="false" ht="15" hidden="false" customHeight="false" outlineLevel="0" collapsed="false"/>
    <row r="1047198" customFormat="false" ht="15" hidden="false" customHeight="false" outlineLevel="0" collapsed="false"/>
    <row r="1047199" customFormat="false" ht="15" hidden="false" customHeight="false" outlineLevel="0" collapsed="false"/>
    <row r="1047200" customFormat="false" ht="15" hidden="false" customHeight="false" outlineLevel="0" collapsed="false"/>
    <row r="1047201" customFormat="false" ht="15" hidden="false" customHeight="false" outlineLevel="0" collapsed="false"/>
    <row r="1047202" customFormat="false" ht="15" hidden="false" customHeight="false" outlineLevel="0" collapsed="false"/>
    <row r="1047203" customFormat="false" ht="15" hidden="false" customHeight="false" outlineLevel="0" collapsed="false"/>
    <row r="1047204" customFormat="false" ht="15" hidden="false" customHeight="false" outlineLevel="0" collapsed="false"/>
    <row r="1047205" customFormat="false" ht="15" hidden="false" customHeight="false" outlineLevel="0" collapsed="false"/>
    <row r="1047206" customFormat="false" ht="15" hidden="false" customHeight="false" outlineLevel="0" collapsed="false"/>
    <row r="1047207" customFormat="false" ht="15" hidden="false" customHeight="false" outlineLevel="0" collapsed="false"/>
    <row r="1047208" customFormat="false" ht="15" hidden="false" customHeight="false" outlineLevel="0" collapsed="false"/>
    <row r="1047209" customFormat="false" ht="15" hidden="false" customHeight="false" outlineLevel="0" collapsed="false"/>
    <row r="1047210" customFormat="false" ht="15" hidden="false" customHeight="false" outlineLevel="0" collapsed="false"/>
    <row r="1047211" customFormat="false" ht="15" hidden="false" customHeight="false" outlineLevel="0" collapsed="false"/>
    <row r="1047212" customFormat="false" ht="15" hidden="false" customHeight="false" outlineLevel="0" collapsed="false"/>
    <row r="1047213" customFormat="false" ht="15" hidden="false" customHeight="false" outlineLevel="0" collapsed="false"/>
    <row r="1047214" customFormat="false" ht="15" hidden="false" customHeight="false" outlineLevel="0" collapsed="false"/>
    <row r="1047215" customFormat="false" ht="15" hidden="false" customHeight="false" outlineLevel="0" collapsed="false"/>
    <row r="1047216" customFormat="false" ht="15" hidden="false" customHeight="false" outlineLevel="0" collapsed="false"/>
    <row r="1047217" customFormat="false" ht="15" hidden="false" customHeight="false" outlineLevel="0" collapsed="false"/>
    <row r="1047218" customFormat="false" ht="15" hidden="false" customHeight="false" outlineLevel="0" collapsed="false"/>
    <row r="1047219" customFormat="false" ht="15" hidden="false" customHeight="false" outlineLevel="0" collapsed="false"/>
    <row r="1047220" customFormat="false" ht="15" hidden="false" customHeight="false" outlineLevel="0" collapsed="false"/>
    <row r="1047221" customFormat="false" ht="15" hidden="false" customHeight="false" outlineLevel="0" collapsed="false"/>
    <row r="1047222" customFormat="false" ht="15" hidden="false" customHeight="false" outlineLevel="0" collapsed="false"/>
    <row r="1047223" customFormat="false" ht="15" hidden="false" customHeight="false" outlineLevel="0" collapsed="false"/>
    <row r="1047224" customFormat="false" ht="15" hidden="false" customHeight="false" outlineLevel="0" collapsed="false"/>
    <row r="1047225" customFormat="false" ht="15" hidden="false" customHeight="false" outlineLevel="0" collapsed="false"/>
    <row r="1047226" customFormat="false" ht="15" hidden="false" customHeight="false" outlineLevel="0" collapsed="false"/>
    <row r="1047227" customFormat="false" ht="15" hidden="false" customHeight="false" outlineLevel="0" collapsed="false"/>
    <row r="1047228" customFormat="false" ht="15" hidden="false" customHeight="false" outlineLevel="0" collapsed="false"/>
    <row r="1047229" customFormat="false" ht="15" hidden="false" customHeight="false" outlineLevel="0" collapsed="false"/>
    <row r="1047230" customFormat="false" ht="15" hidden="false" customHeight="false" outlineLevel="0" collapsed="false"/>
    <row r="1047231" customFormat="false" ht="15" hidden="false" customHeight="false" outlineLevel="0" collapsed="false"/>
    <row r="1047232" customFormat="false" ht="15" hidden="false" customHeight="false" outlineLevel="0" collapsed="false"/>
    <row r="1047233" customFormat="false" ht="15" hidden="false" customHeight="false" outlineLevel="0" collapsed="false"/>
    <row r="1047234" customFormat="false" ht="15" hidden="false" customHeight="false" outlineLevel="0" collapsed="false"/>
    <row r="1047235" customFormat="false" ht="15" hidden="false" customHeight="false" outlineLevel="0" collapsed="false"/>
    <row r="1047236" customFormat="false" ht="15" hidden="false" customHeight="false" outlineLevel="0" collapsed="false"/>
    <row r="1047237" customFormat="false" ht="15" hidden="false" customHeight="false" outlineLevel="0" collapsed="false"/>
    <row r="1047238" customFormat="false" ht="15" hidden="false" customHeight="false" outlineLevel="0" collapsed="false"/>
    <row r="1047239" customFormat="false" ht="15" hidden="false" customHeight="false" outlineLevel="0" collapsed="false"/>
    <row r="1047240" customFormat="false" ht="15" hidden="false" customHeight="false" outlineLevel="0" collapsed="false"/>
    <row r="1047241" customFormat="false" ht="15" hidden="false" customHeight="false" outlineLevel="0" collapsed="false"/>
    <row r="1047242" customFormat="false" ht="15" hidden="false" customHeight="false" outlineLevel="0" collapsed="false"/>
    <row r="1047243" customFormat="false" ht="15" hidden="false" customHeight="false" outlineLevel="0" collapsed="false"/>
    <row r="1047244" customFormat="false" ht="15" hidden="false" customHeight="false" outlineLevel="0" collapsed="false"/>
    <row r="1047245" customFormat="false" ht="15" hidden="false" customHeight="false" outlineLevel="0" collapsed="false"/>
    <row r="1047246" customFormat="false" ht="15" hidden="false" customHeight="false" outlineLevel="0" collapsed="false"/>
    <row r="1047247" customFormat="false" ht="15" hidden="false" customHeight="false" outlineLevel="0" collapsed="false"/>
    <row r="1047248" customFormat="false" ht="15" hidden="false" customHeight="false" outlineLevel="0" collapsed="false"/>
    <row r="1047249" customFormat="false" ht="15" hidden="false" customHeight="false" outlineLevel="0" collapsed="false"/>
    <row r="1047250" customFormat="false" ht="15" hidden="false" customHeight="false" outlineLevel="0" collapsed="false"/>
    <row r="1047251" customFormat="false" ht="15" hidden="false" customHeight="false" outlineLevel="0" collapsed="false"/>
    <row r="1047252" customFormat="false" ht="15" hidden="false" customHeight="false" outlineLevel="0" collapsed="false"/>
    <row r="1047253" customFormat="false" ht="15" hidden="false" customHeight="false" outlineLevel="0" collapsed="false"/>
    <row r="1047254" customFormat="false" ht="15" hidden="false" customHeight="false" outlineLevel="0" collapsed="false"/>
    <row r="1047255" customFormat="false" ht="15" hidden="false" customHeight="false" outlineLevel="0" collapsed="false"/>
    <row r="1047256" customFormat="false" ht="15" hidden="false" customHeight="false" outlineLevel="0" collapsed="false"/>
    <row r="1047257" customFormat="false" ht="15" hidden="false" customHeight="false" outlineLevel="0" collapsed="false"/>
    <row r="1047258" customFormat="false" ht="15" hidden="false" customHeight="false" outlineLevel="0" collapsed="false"/>
    <row r="1047259" customFormat="false" ht="15" hidden="false" customHeight="false" outlineLevel="0" collapsed="false"/>
    <row r="1047260" customFormat="false" ht="15" hidden="false" customHeight="false" outlineLevel="0" collapsed="false"/>
    <row r="1047261" customFormat="false" ht="15" hidden="false" customHeight="false" outlineLevel="0" collapsed="false"/>
    <row r="1047262" customFormat="false" ht="15" hidden="false" customHeight="false" outlineLevel="0" collapsed="false"/>
    <row r="1047263" customFormat="false" ht="15" hidden="false" customHeight="false" outlineLevel="0" collapsed="false"/>
    <row r="1047264" customFormat="false" ht="15" hidden="false" customHeight="false" outlineLevel="0" collapsed="false"/>
    <row r="1047265" customFormat="false" ht="15" hidden="false" customHeight="false" outlineLevel="0" collapsed="false"/>
    <row r="1047266" customFormat="false" ht="15" hidden="false" customHeight="false" outlineLevel="0" collapsed="false"/>
    <row r="1047267" customFormat="false" ht="15" hidden="false" customHeight="false" outlineLevel="0" collapsed="false"/>
    <row r="1047268" customFormat="false" ht="15" hidden="false" customHeight="false" outlineLevel="0" collapsed="false"/>
    <row r="1047269" customFormat="false" ht="15" hidden="false" customHeight="false" outlineLevel="0" collapsed="false"/>
    <row r="1047270" customFormat="false" ht="15" hidden="false" customHeight="false" outlineLevel="0" collapsed="false"/>
    <row r="1047271" customFormat="false" ht="15" hidden="false" customHeight="false" outlineLevel="0" collapsed="false"/>
    <row r="1047272" customFormat="false" ht="15" hidden="false" customHeight="false" outlineLevel="0" collapsed="false"/>
    <row r="1047273" customFormat="false" ht="15" hidden="false" customHeight="false" outlineLevel="0" collapsed="false"/>
    <row r="1047274" customFormat="false" ht="15" hidden="false" customHeight="false" outlineLevel="0" collapsed="false"/>
    <row r="1047275" customFormat="false" ht="15" hidden="false" customHeight="false" outlineLevel="0" collapsed="false"/>
    <row r="1047276" customFormat="false" ht="15" hidden="false" customHeight="false" outlineLevel="0" collapsed="false"/>
    <row r="1047277" customFormat="false" ht="15" hidden="false" customHeight="false" outlineLevel="0" collapsed="false"/>
    <row r="1047278" customFormat="false" ht="15" hidden="false" customHeight="false" outlineLevel="0" collapsed="false"/>
    <row r="1047279" customFormat="false" ht="15" hidden="false" customHeight="false" outlineLevel="0" collapsed="false"/>
    <row r="1047280" customFormat="false" ht="15" hidden="false" customHeight="false" outlineLevel="0" collapsed="false"/>
    <row r="1047281" customFormat="false" ht="15" hidden="false" customHeight="false" outlineLevel="0" collapsed="false"/>
    <row r="1047282" customFormat="false" ht="15" hidden="false" customHeight="false" outlineLevel="0" collapsed="false"/>
    <row r="1047283" customFormat="false" ht="15" hidden="false" customHeight="false" outlineLevel="0" collapsed="false"/>
    <row r="1047284" customFormat="false" ht="15" hidden="false" customHeight="false" outlineLevel="0" collapsed="false"/>
    <row r="1047285" customFormat="false" ht="15" hidden="false" customHeight="false" outlineLevel="0" collapsed="false"/>
    <row r="1047286" customFormat="false" ht="15" hidden="false" customHeight="false" outlineLevel="0" collapsed="false"/>
    <row r="1047287" customFormat="false" ht="15" hidden="false" customHeight="false" outlineLevel="0" collapsed="false"/>
    <row r="1047288" customFormat="false" ht="15" hidden="false" customHeight="false" outlineLevel="0" collapsed="false"/>
    <row r="1047289" customFormat="false" ht="15" hidden="false" customHeight="false" outlineLevel="0" collapsed="false"/>
    <row r="1047290" customFormat="false" ht="15" hidden="false" customHeight="false" outlineLevel="0" collapsed="false"/>
    <row r="1047291" customFormat="false" ht="15" hidden="false" customHeight="false" outlineLevel="0" collapsed="false"/>
    <row r="1047292" customFormat="false" ht="15" hidden="false" customHeight="false" outlineLevel="0" collapsed="false"/>
    <row r="1047293" customFormat="false" ht="15" hidden="false" customHeight="false" outlineLevel="0" collapsed="false"/>
    <row r="1047294" customFormat="false" ht="15" hidden="false" customHeight="false" outlineLevel="0" collapsed="false"/>
    <row r="1047295" customFormat="false" ht="15" hidden="false" customHeight="false" outlineLevel="0" collapsed="false"/>
    <row r="1047296" customFormat="false" ht="15" hidden="false" customHeight="false" outlineLevel="0" collapsed="false"/>
    <row r="1047297" customFormat="false" ht="15" hidden="false" customHeight="false" outlineLevel="0" collapsed="false"/>
    <row r="1047298" customFormat="false" ht="15" hidden="false" customHeight="false" outlineLevel="0" collapsed="false"/>
    <row r="1047299" customFormat="false" ht="15" hidden="false" customHeight="false" outlineLevel="0" collapsed="false"/>
    <row r="1047300" customFormat="false" ht="15" hidden="false" customHeight="false" outlineLevel="0" collapsed="false"/>
    <row r="1047301" customFormat="false" ht="15" hidden="false" customHeight="false" outlineLevel="0" collapsed="false"/>
    <row r="1047302" customFormat="false" ht="15" hidden="false" customHeight="false" outlineLevel="0" collapsed="false"/>
    <row r="1047303" customFormat="false" ht="15" hidden="false" customHeight="false" outlineLevel="0" collapsed="false"/>
    <row r="1047304" customFormat="false" ht="15" hidden="false" customHeight="false" outlineLevel="0" collapsed="false"/>
    <row r="1047305" customFormat="false" ht="15" hidden="false" customHeight="false" outlineLevel="0" collapsed="false"/>
    <row r="1047306" customFormat="false" ht="15" hidden="false" customHeight="false" outlineLevel="0" collapsed="false"/>
    <row r="1047307" customFormat="false" ht="15" hidden="false" customHeight="false" outlineLevel="0" collapsed="false"/>
    <row r="1047308" customFormat="false" ht="15" hidden="false" customHeight="false" outlineLevel="0" collapsed="false"/>
    <row r="1047309" customFormat="false" ht="15" hidden="false" customHeight="false" outlineLevel="0" collapsed="false"/>
    <row r="1047310" customFormat="false" ht="15" hidden="false" customHeight="false" outlineLevel="0" collapsed="false"/>
    <row r="1047311" customFormat="false" ht="15" hidden="false" customHeight="false" outlineLevel="0" collapsed="false"/>
    <row r="1047312" customFormat="false" ht="15" hidden="false" customHeight="false" outlineLevel="0" collapsed="false"/>
    <row r="1047313" customFormat="false" ht="15" hidden="false" customHeight="false" outlineLevel="0" collapsed="false"/>
    <row r="1047314" customFormat="false" ht="15" hidden="false" customHeight="false" outlineLevel="0" collapsed="false"/>
    <row r="1047315" customFormat="false" ht="15" hidden="false" customHeight="false" outlineLevel="0" collapsed="false"/>
    <row r="1047316" customFormat="false" ht="15" hidden="false" customHeight="false" outlineLevel="0" collapsed="false"/>
    <row r="1047317" customFormat="false" ht="15" hidden="false" customHeight="false" outlineLevel="0" collapsed="false"/>
    <row r="1047318" customFormat="false" ht="15" hidden="false" customHeight="false" outlineLevel="0" collapsed="false"/>
    <row r="1047319" customFormat="false" ht="15" hidden="false" customHeight="false" outlineLevel="0" collapsed="false"/>
    <row r="1047320" customFormat="false" ht="15" hidden="false" customHeight="false" outlineLevel="0" collapsed="false"/>
    <row r="1047321" customFormat="false" ht="15" hidden="false" customHeight="false" outlineLevel="0" collapsed="false"/>
    <row r="1047322" customFormat="false" ht="15" hidden="false" customHeight="false" outlineLevel="0" collapsed="false"/>
    <row r="1047323" customFormat="false" ht="15" hidden="false" customHeight="false" outlineLevel="0" collapsed="false"/>
    <row r="1047324" customFormat="false" ht="15" hidden="false" customHeight="false" outlineLevel="0" collapsed="false"/>
    <row r="1047325" customFormat="false" ht="15" hidden="false" customHeight="false" outlineLevel="0" collapsed="false"/>
    <row r="1047326" customFormat="false" ht="15" hidden="false" customHeight="false" outlineLevel="0" collapsed="false"/>
    <row r="1047327" customFormat="false" ht="15" hidden="false" customHeight="false" outlineLevel="0" collapsed="false"/>
    <row r="1047328" customFormat="false" ht="15" hidden="false" customHeight="false" outlineLevel="0" collapsed="false"/>
    <row r="1047329" customFormat="false" ht="15" hidden="false" customHeight="false" outlineLevel="0" collapsed="false"/>
    <row r="1047330" customFormat="false" ht="15" hidden="false" customHeight="false" outlineLevel="0" collapsed="false"/>
    <row r="1047331" customFormat="false" ht="15" hidden="false" customHeight="false" outlineLevel="0" collapsed="false"/>
    <row r="1047332" customFormat="false" ht="15" hidden="false" customHeight="false" outlineLevel="0" collapsed="false"/>
    <row r="1047333" customFormat="false" ht="15" hidden="false" customHeight="false" outlineLevel="0" collapsed="false"/>
    <row r="1047334" customFormat="false" ht="15" hidden="false" customHeight="false" outlineLevel="0" collapsed="false"/>
    <row r="1047335" customFormat="false" ht="15" hidden="false" customHeight="false" outlineLevel="0" collapsed="false"/>
    <row r="1047336" customFormat="false" ht="15" hidden="false" customHeight="false" outlineLevel="0" collapsed="false"/>
    <row r="1047337" customFormat="false" ht="15" hidden="false" customHeight="false" outlineLevel="0" collapsed="false"/>
    <row r="1047338" customFormat="false" ht="15" hidden="false" customHeight="false" outlineLevel="0" collapsed="false"/>
    <row r="1047339" customFormat="false" ht="15" hidden="false" customHeight="false" outlineLevel="0" collapsed="false"/>
    <row r="1047340" customFormat="false" ht="15" hidden="false" customHeight="false" outlineLevel="0" collapsed="false"/>
    <row r="1047341" customFormat="false" ht="15" hidden="false" customHeight="false" outlineLevel="0" collapsed="false"/>
    <row r="1047342" customFormat="false" ht="15" hidden="false" customHeight="false" outlineLevel="0" collapsed="false"/>
    <row r="1047343" customFormat="false" ht="15" hidden="false" customHeight="false" outlineLevel="0" collapsed="false"/>
    <row r="1047344" customFormat="false" ht="15" hidden="false" customHeight="false" outlineLevel="0" collapsed="false"/>
    <row r="1047345" customFormat="false" ht="15" hidden="false" customHeight="false" outlineLevel="0" collapsed="false"/>
    <row r="1047346" customFormat="false" ht="15" hidden="false" customHeight="false" outlineLevel="0" collapsed="false"/>
    <row r="1047347" customFormat="false" ht="15" hidden="false" customHeight="false" outlineLevel="0" collapsed="false"/>
    <row r="1047348" customFormat="false" ht="15" hidden="false" customHeight="false" outlineLevel="0" collapsed="false"/>
    <row r="1047349" customFormat="false" ht="15" hidden="false" customHeight="false" outlineLevel="0" collapsed="false"/>
    <row r="1047350" customFormat="false" ht="15" hidden="false" customHeight="false" outlineLevel="0" collapsed="false"/>
    <row r="1047351" customFormat="false" ht="15" hidden="false" customHeight="false" outlineLevel="0" collapsed="false"/>
    <row r="1047352" customFormat="false" ht="15" hidden="false" customHeight="false" outlineLevel="0" collapsed="false"/>
    <row r="1047353" customFormat="false" ht="15" hidden="false" customHeight="false" outlineLevel="0" collapsed="false"/>
    <row r="1047354" customFormat="false" ht="15" hidden="false" customHeight="false" outlineLevel="0" collapsed="false"/>
    <row r="1047355" customFormat="false" ht="15" hidden="false" customHeight="false" outlineLevel="0" collapsed="false"/>
    <row r="1047356" customFormat="false" ht="15" hidden="false" customHeight="false" outlineLevel="0" collapsed="false"/>
    <row r="1047357" customFormat="false" ht="15" hidden="false" customHeight="false" outlineLevel="0" collapsed="false"/>
    <row r="1047358" customFormat="false" ht="15" hidden="false" customHeight="false" outlineLevel="0" collapsed="false"/>
    <row r="1047359" customFormat="false" ht="15" hidden="false" customHeight="false" outlineLevel="0" collapsed="false"/>
    <row r="1047360" customFormat="false" ht="15" hidden="false" customHeight="false" outlineLevel="0" collapsed="false"/>
    <row r="1047361" customFormat="false" ht="15" hidden="false" customHeight="false" outlineLevel="0" collapsed="false"/>
    <row r="1047362" customFormat="false" ht="15" hidden="false" customHeight="false" outlineLevel="0" collapsed="false"/>
    <row r="1047363" customFormat="false" ht="15" hidden="false" customHeight="false" outlineLevel="0" collapsed="false"/>
    <row r="1047364" customFormat="false" ht="15" hidden="false" customHeight="false" outlineLevel="0" collapsed="false"/>
    <row r="1047365" customFormat="false" ht="15" hidden="false" customHeight="false" outlineLevel="0" collapsed="false"/>
    <row r="1047366" customFormat="false" ht="15" hidden="false" customHeight="false" outlineLevel="0" collapsed="false"/>
    <row r="1047367" customFormat="false" ht="15" hidden="false" customHeight="false" outlineLevel="0" collapsed="false"/>
    <row r="1047368" customFormat="false" ht="15" hidden="false" customHeight="false" outlineLevel="0" collapsed="false"/>
    <row r="1047369" customFormat="false" ht="15" hidden="false" customHeight="false" outlineLevel="0" collapsed="false"/>
    <row r="1047370" customFormat="false" ht="15" hidden="false" customHeight="false" outlineLevel="0" collapsed="false"/>
    <row r="1047371" customFormat="false" ht="15" hidden="false" customHeight="false" outlineLevel="0" collapsed="false"/>
    <row r="1047372" customFormat="false" ht="15" hidden="false" customHeight="false" outlineLevel="0" collapsed="false"/>
    <row r="1047373" customFormat="false" ht="15" hidden="false" customHeight="false" outlineLevel="0" collapsed="false"/>
    <row r="1047374" customFormat="false" ht="15" hidden="false" customHeight="false" outlineLevel="0" collapsed="false"/>
    <row r="1047375" customFormat="false" ht="15" hidden="false" customHeight="false" outlineLevel="0" collapsed="false"/>
    <row r="1047376" customFormat="false" ht="15" hidden="false" customHeight="false" outlineLevel="0" collapsed="false"/>
    <row r="1047377" customFormat="false" ht="15" hidden="false" customHeight="false" outlineLevel="0" collapsed="false"/>
    <row r="1047378" customFormat="false" ht="15" hidden="false" customHeight="false" outlineLevel="0" collapsed="false"/>
    <row r="1047379" customFormat="false" ht="15" hidden="false" customHeight="false" outlineLevel="0" collapsed="false"/>
    <row r="1047380" customFormat="false" ht="15" hidden="false" customHeight="false" outlineLevel="0" collapsed="false"/>
    <row r="1047381" customFormat="false" ht="15" hidden="false" customHeight="false" outlineLevel="0" collapsed="false"/>
    <row r="1047382" customFormat="false" ht="15" hidden="false" customHeight="false" outlineLevel="0" collapsed="false"/>
    <row r="1047383" customFormat="false" ht="15" hidden="false" customHeight="false" outlineLevel="0" collapsed="false"/>
    <row r="1047384" customFormat="false" ht="15" hidden="false" customHeight="false" outlineLevel="0" collapsed="false"/>
    <row r="1047385" customFormat="false" ht="15" hidden="false" customHeight="false" outlineLevel="0" collapsed="false"/>
    <row r="1047386" customFormat="false" ht="15" hidden="false" customHeight="false" outlineLevel="0" collapsed="false"/>
    <row r="1047387" customFormat="false" ht="15" hidden="false" customHeight="false" outlineLevel="0" collapsed="false"/>
    <row r="1047388" customFormat="false" ht="15" hidden="false" customHeight="false" outlineLevel="0" collapsed="false"/>
    <row r="1047389" customFormat="false" ht="15" hidden="false" customHeight="false" outlineLevel="0" collapsed="false"/>
    <row r="1047390" customFormat="false" ht="15" hidden="false" customHeight="false" outlineLevel="0" collapsed="false"/>
    <row r="1047391" customFormat="false" ht="15" hidden="false" customHeight="false" outlineLevel="0" collapsed="false"/>
    <row r="1047392" customFormat="false" ht="15" hidden="false" customHeight="false" outlineLevel="0" collapsed="false"/>
    <row r="1047393" customFormat="false" ht="15" hidden="false" customHeight="false" outlineLevel="0" collapsed="false"/>
    <row r="1047394" customFormat="false" ht="15" hidden="false" customHeight="false" outlineLevel="0" collapsed="false"/>
    <row r="1047395" customFormat="false" ht="15" hidden="false" customHeight="false" outlineLevel="0" collapsed="false"/>
    <row r="1047396" customFormat="false" ht="15" hidden="false" customHeight="false" outlineLevel="0" collapsed="false"/>
    <row r="1047397" customFormat="false" ht="15" hidden="false" customHeight="false" outlineLevel="0" collapsed="false"/>
    <row r="1047398" customFormat="false" ht="15" hidden="false" customHeight="false" outlineLevel="0" collapsed="false"/>
    <row r="1047399" customFormat="false" ht="15" hidden="false" customHeight="false" outlineLevel="0" collapsed="false"/>
    <row r="1047400" customFormat="false" ht="15" hidden="false" customHeight="false" outlineLevel="0" collapsed="false"/>
    <row r="1047401" customFormat="false" ht="15" hidden="false" customHeight="false" outlineLevel="0" collapsed="false"/>
    <row r="1047402" customFormat="false" ht="15" hidden="false" customHeight="false" outlineLevel="0" collapsed="false"/>
    <row r="1047403" customFormat="false" ht="15" hidden="false" customHeight="false" outlineLevel="0" collapsed="false"/>
    <row r="1047404" customFormat="false" ht="15" hidden="false" customHeight="false" outlineLevel="0" collapsed="false"/>
    <row r="1047405" customFormat="false" ht="15" hidden="false" customHeight="false" outlineLevel="0" collapsed="false"/>
    <row r="1047406" customFormat="false" ht="15" hidden="false" customHeight="false" outlineLevel="0" collapsed="false"/>
    <row r="1047407" customFormat="false" ht="15" hidden="false" customHeight="false" outlineLevel="0" collapsed="false"/>
    <row r="1047408" customFormat="false" ht="15" hidden="false" customHeight="false" outlineLevel="0" collapsed="false"/>
    <row r="1047409" customFormat="false" ht="15" hidden="false" customHeight="false" outlineLevel="0" collapsed="false"/>
    <row r="1047410" customFormat="false" ht="15" hidden="false" customHeight="false" outlineLevel="0" collapsed="false"/>
    <row r="1047411" customFormat="false" ht="15" hidden="false" customHeight="false" outlineLevel="0" collapsed="false"/>
    <row r="1047412" customFormat="false" ht="15" hidden="false" customHeight="false" outlineLevel="0" collapsed="false"/>
    <row r="1047413" customFormat="false" ht="15" hidden="false" customHeight="false" outlineLevel="0" collapsed="false"/>
    <row r="1047414" customFormat="false" ht="15" hidden="false" customHeight="false" outlineLevel="0" collapsed="false"/>
    <row r="1047415" customFormat="false" ht="15" hidden="false" customHeight="false" outlineLevel="0" collapsed="false"/>
    <row r="1047416" customFormat="false" ht="15" hidden="false" customHeight="false" outlineLevel="0" collapsed="false"/>
    <row r="1047417" customFormat="false" ht="15" hidden="false" customHeight="false" outlineLevel="0" collapsed="false"/>
    <row r="1047418" customFormat="false" ht="15" hidden="false" customHeight="false" outlineLevel="0" collapsed="false"/>
    <row r="1047419" customFormat="false" ht="15" hidden="false" customHeight="false" outlineLevel="0" collapsed="false"/>
    <row r="1047420" customFormat="false" ht="15" hidden="false" customHeight="false" outlineLevel="0" collapsed="false"/>
    <row r="1047421" customFormat="false" ht="15" hidden="false" customHeight="false" outlineLevel="0" collapsed="false"/>
    <row r="1047422" customFormat="false" ht="15" hidden="false" customHeight="false" outlineLevel="0" collapsed="false"/>
    <row r="1047423" customFormat="false" ht="15" hidden="false" customHeight="false" outlineLevel="0" collapsed="false"/>
    <row r="1047424" customFormat="false" ht="15" hidden="false" customHeight="false" outlineLevel="0" collapsed="false"/>
    <row r="1047425" customFormat="false" ht="15" hidden="false" customHeight="false" outlineLevel="0" collapsed="false"/>
    <row r="1047426" customFormat="false" ht="15" hidden="false" customHeight="false" outlineLevel="0" collapsed="false"/>
    <row r="1047427" customFormat="false" ht="15" hidden="false" customHeight="false" outlineLevel="0" collapsed="false"/>
    <row r="1047428" customFormat="false" ht="15" hidden="false" customHeight="false" outlineLevel="0" collapsed="false"/>
    <row r="1047429" customFormat="false" ht="15" hidden="false" customHeight="false" outlineLevel="0" collapsed="false"/>
    <row r="1047430" customFormat="false" ht="15" hidden="false" customHeight="false" outlineLevel="0" collapsed="false"/>
    <row r="1047431" customFormat="false" ht="15" hidden="false" customHeight="false" outlineLevel="0" collapsed="false"/>
    <row r="1047432" customFormat="false" ht="15" hidden="false" customHeight="false" outlineLevel="0" collapsed="false"/>
    <row r="1047433" customFormat="false" ht="15" hidden="false" customHeight="false" outlineLevel="0" collapsed="false"/>
    <row r="1047434" customFormat="false" ht="15" hidden="false" customHeight="false" outlineLevel="0" collapsed="false"/>
    <row r="1047435" customFormat="false" ht="15" hidden="false" customHeight="false" outlineLevel="0" collapsed="false"/>
    <row r="1047436" customFormat="false" ht="15" hidden="false" customHeight="false" outlineLevel="0" collapsed="false"/>
    <row r="1047437" customFormat="false" ht="15" hidden="false" customHeight="false" outlineLevel="0" collapsed="false"/>
    <row r="1047438" customFormat="false" ht="15" hidden="false" customHeight="false" outlineLevel="0" collapsed="false"/>
    <row r="1047439" customFormat="false" ht="15" hidden="false" customHeight="false" outlineLevel="0" collapsed="false"/>
    <row r="1047440" customFormat="false" ht="15" hidden="false" customHeight="false" outlineLevel="0" collapsed="false"/>
    <row r="1047441" customFormat="false" ht="15" hidden="false" customHeight="false" outlineLevel="0" collapsed="false"/>
    <row r="1047442" customFormat="false" ht="15" hidden="false" customHeight="false" outlineLevel="0" collapsed="false"/>
    <row r="1047443" customFormat="false" ht="15" hidden="false" customHeight="false" outlineLevel="0" collapsed="false"/>
    <row r="1047444" customFormat="false" ht="15" hidden="false" customHeight="false" outlineLevel="0" collapsed="false"/>
    <row r="1047445" customFormat="false" ht="15" hidden="false" customHeight="false" outlineLevel="0" collapsed="false"/>
    <row r="1047446" customFormat="false" ht="15" hidden="false" customHeight="false" outlineLevel="0" collapsed="false"/>
    <row r="1047447" customFormat="false" ht="15" hidden="false" customHeight="false" outlineLevel="0" collapsed="false"/>
    <row r="1047448" customFormat="false" ht="15" hidden="false" customHeight="false" outlineLevel="0" collapsed="false"/>
    <row r="1047449" customFormat="false" ht="15" hidden="false" customHeight="false" outlineLevel="0" collapsed="false"/>
    <row r="1047450" customFormat="false" ht="15" hidden="false" customHeight="false" outlineLevel="0" collapsed="false"/>
    <row r="1047451" customFormat="false" ht="15" hidden="false" customHeight="false" outlineLevel="0" collapsed="false"/>
    <row r="1047452" customFormat="false" ht="15" hidden="false" customHeight="false" outlineLevel="0" collapsed="false"/>
    <row r="1047453" customFormat="false" ht="15" hidden="false" customHeight="false" outlineLevel="0" collapsed="false"/>
    <row r="1047454" customFormat="false" ht="15" hidden="false" customHeight="false" outlineLevel="0" collapsed="false"/>
    <row r="1047455" customFormat="false" ht="15" hidden="false" customHeight="false" outlineLevel="0" collapsed="false"/>
    <row r="1047456" customFormat="false" ht="15" hidden="false" customHeight="false" outlineLevel="0" collapsed="false"/>
    <row r="1047457" customFormat="false" ht="15" hidden="false" customHeight="false" outlineLevel="0" collapsed="false"/>
    <row r="1047458" customFormat="false" ht="15" hidden="false" customHeight="false" outlineLevel="0" collapsed="false"/>
    <row r="1047459" customFormat="false" ht="15" hidden="false" customHeight="false" outlineLevel="0" collapsed="false"/>
    <row r="1047460" customFormat="false" ht="15" hidden="false" customHeight="false" outlineLevel="0" collapsed="false"/>
    <row r="1047461" customFormat="false" ht="15" hidden="false" customHeight="false" outlineLevel="0" collapsed="false"/>
    <row r="1047462" customFormat="false" ht="15" hidden="false" customHeight="false" outlineLevel="0" collapsed="false"/>
    <row r="1047463" customFormat="false" ht="15" hidden="false" customHeight="false" outlineLevel="0" collapsed="false"/>
    <row r="1047464" customFormat="false" ht="15" hidden="false" customHeight="false" outlineLevel="0" collapsed="false"/>
    <row r="1047465" customFormat="false" ht="15" hidden="false" customHeight="false" outlineLevel="0" collapsed="false"/>
    <row r="1047466" customFormat="false" ht="15" hidden="false" customHeight="false" outlineLevel="0" collapsed="false"/>
    <row r="1047467" customFormat="false" ht="15" hidden="false" customHeight="false" outlineLevel="0" collapsed="false"/>
    <row r="1047468" customFormat="false" ht="15" hidden="false" customHeight="false" outlineLevel="0" collapsed="false"/>
    <row r="1047469" customFormat="false" ht="15" hidden="false" customHeight="false" outlineLevel="0" collapsed="false"/>
    <row r="1047470" customFormat="false" ht="15" hidden="false" customHeight="false" outlineLevel="0" collapsed="false"/>
    <row r="1047471" customFormat="false" ht="15" hidden="false" customHeight="false" outlineLevel="0" collapsed="false"/>
    <row r="1047472" customFormat="false" ht="15" hidden="false" customHeight="false" outlineLevel="0" collapsed="false"/>
    <row r="1047473" customFormat="false" ht="15" hidden="false" customHeight="false" outlineLevel="0" collapsed="false"/>
    <row r="1047474" customFormat="false" ht="15" hidden="false" customHeight="false" outlineLevel="0" collapsed="false"/>
    <row r="1047475" customFormat="false" ht="15" hidden="false" customHeight="false" outlineLevel="0" collapsed="false"/>
    <row r="1047476" customFormat="false" ht="15" hidden="false" customHeight="false" outlineLevel="0" collapsed="false"/>
    <row r="1047477" customFormat="false" ht="15" hidden="false" customHeight="false" outlineLevel="0" collapsed="false"/>
    <row r="1047478" customFormat="false" ht="15" hidden="false" customHeight="false" outlineLevel="0" collapsed="false"/>
    <row r="1047479" customFormat="false" ht="15" hidden="false" customHeight="false" outlineLevel="0" collapsed="false"/>
    <row r="1047480" customFormat="false" ht="15" hidden="false" customHeight="false" outlineLevel="0" collapsed="false"/>
    <row r="1047481" customFormat="false" ht="15" hidden="false" customHeight="false" outlineLevel="0" collapsed="false"/>
    <row r="1047482" customFormat="false" ht="15" hidden="false" customHeight="false" outlineLevel="0" collapsed="false"/>
    <row r="1047483" customFormat="false" ht="15" hidden="false" customHeight="false" outlineLevel="0" collapsed="false"/>
    <row r="1047484" customFormat="false" ht="15" hidden="false" customHeight="false" outlineLevel="0" collapsed="false"/>
    <row r="1047485" customFormat="false" ht="15" hidden="false" customHeight="false" outlineLevel="0" collapsed="false"/>
    <row r="1047486" customFormat="false" ht="15" hidden="false" customHeight="false" outlineLevel="0" collapsed="false"/>
    <row r="1047487" customFormat="false" ht="15" hidden="false" customHeight="false" outlineLevel="0" collapsed="false"/>
    <row r="1047488" customFormat="false" ht="15" hidden="false" customHeight="false" outlineLevel="0" collapsed="false"/>
    <row r="1047489" customFormat="false" ht="15" hidden="false" customHeight="false" outlineLevel="0" collapsed="false"/>
    <row r="1047490" customFormat="false" ht="15" hidden="false" customHeight="false" outlineLevel="0" collapsed="false"/>
    <row r="1047491" customFormat="false" ht="15" hidden="false" customHeight="false" outlineLevel="0" collapsed="false"/>
    <row r="1047492" customFormat="false" ht="15" hidden="false" customHeight="false" outlineLevel="0" collapsed="false"/>
    <row r="1047493" customFormat="false" ht="15" hidden="false" customHeight="false" outlineLevel="0" collapsed="false"/>
    <row r="1047494" customFormat="false" ht="15" hidden="false" customHeight="false" outlineLevel="0" collapsed="false"/>
    <row r="1047495" customFormat="false" ht="15" hidden="false" customHeight="false" outlineLevel="0" collapsed="false"/>
    <row r="1047496" customFormat="false" ht="15" hidden="false" customHeight="false" outlineLevel="0" collapsed="false"/>
    <row r="1047497" customFormat="false" ht="15" hidden="false" customHeight="false" outlineLevel="0" collapsed="false"/>
    <row r="1047498" customFormat="false" ht="15" hidden="false" customHeight="false" outlineLevel="0" collapsed="false"/>
    <row r="1047499" customFormat="false" ht="15" hidden="false" customHeight="false" outlineLevel="0" collapsed="false"/>
    <row r="1047500" customFormat="false" ht="15" hidden="false" customHeight="false" outlineLevel="0" collapsed="false"/>
    <row r="1047501" customFormat="false" ht="15" hidden="false" customHeight="false" outlineLevel="0" collapsed="false"/>
    <row r="1047502" customFormat="false" ht="15" hidden="false" customHeight="false" outlineLevel="0" collapsed="false"/>
    <row r="1047503" customFormat="false" ht="15" hidden="false" customHeight="false" outlineLevel="0" collapsed="false"/>
    <row r="1047504" customFormat="false" ht="15" hidden="false" customHeight="false" outlineLevel="0" collapsed="false"/>
    <row r="1047505" customFormat="false" ht="15" hidden="false" customHeight="false" outlineLevel="0" collapsed="false"/>
    <row r="1047506" customFormat="false" ht="15" hidden="false" customHeight="false" outlineLevel="0" collapsed="false"/>
    <row r="1047507" customFormat="false" ht="15" hidden="false" customHeight="false" outlineLevel="0" collapsed="false"/>
    <row r="1047508" customFormat="false" ht="15" hidden="false" customHeight="false" outlineLevel="0" collapsed="false"/>
    <row r="1047509" customFormat="false" ht="15" hidden="false" customHeight="false" outlineLevel="0" collapsed="false"/>
    <row r="1047510" customFormat="false" ht="15" hidden="false" customHeight="false" outlineLevel="0" collapsed="false"/>
    <row r="1047511" customFormat="false" ht="15" hidden="false" customHeight="false" outlineLevel="0" collapsed="false"/>
    <row r="1047512" customFormat="false" ht="15" hidden="false" customHeight="false" outlineLevel="0" collapsed="false"/>
    <row r="1047513" customFormat="false" ht="15" hidden="false" customHeight="false" outlineLevel="0" collapsed="false"/>
    <row r="1047514" customFormat="false" ht="15" hidden="false" customHeight="false" outlineLevel="0" collapsed="false"/>
    <row r="1047515" customFormat="false" ht="15" hidden="false" customHeight="false" outlineLevel="0" collapsed="false"/>
    <row r="1047516" customFormat="false" ht="15" hidden="false" customHeight="false" outlineLevel="0" collapsed="false"/>
    <row r="1047517" customFormat="false" ht="15" hidden="false" customHeight="false" outlineLevel="0" collapsed="false"/>
    <row r="1047518" customFormat="false" ht="15" hidden="false" customHeight="false" outlineLevel="0" collapsed="false"/>
    <row r="1047519" customFormat="false" ht="15" hidden="false" customHeight="false" outlineLevel="0" collapsed="false"/>
    <row r="1047520" customFormat="false" ht="15" hidden="false" customHeight="false" outlineLevel="0" collapsed="false"/>
    <row r="1047521" customFormat="false" ht="15" hidden="false" customHeight="false" outlineLevel="0" collapsed="false"/>
    <row r="1047522" customFormat="false" ht="15" hidden="false" customHeight="false" outlineLevel="0" collapsed="false"/>
    <row r="1047523" customFormat="false" ht="15" hidden="false" customHeight="false" outlineLevel="0" collapsed="false"/>
    <row r="1047524" customFormat="false" ht="15" hidden="false" customHeight="false" outlineLevel="0" collapsed="false"/>
    <row r="1047525" customFormat="false" ht="15" hidden="false" customHeight="false" outlineLevel="0" collapsed="false"/>
    <row r="1047526" customFormat="false" ht="15" hidden="false" customHeight="false" outlineLevel="0" collapsed="false"/>
    <row r="1047527" customFormat="false" ht="15" hidden="false" customHeight="false" outlineLevel="0" collapsed="false"/>
    <row r="1047528" customFormat="false" ht="15" hidden="false" customHeight="false" outlineLevel="0" collapsed="false"/>
    <row r="1047529" customFormat="false" ht="15" hidden="false" customHeight="false" outlineLevel="0" collapsed="false"/>
    <row r="1047530" customFormat="false" ht="15" hidden="false" customHeight="false" outlineLevel="0" collapsed="false"/>
    <row r="1047531" customFormat="false" ht="15" hidden="false" customHeight="false" outlineLevel="0" collapsed="false"/>
    <row r="1047532" customFormat="false" ht="15" hidden="false" customHeight="false" outlineLevel="0" collapsed="false"/>
    <row r="1047533" customFormat="false" ht="15" hidden="false" customHeight="false" outlineLevel="0" collapsed="false"/>
    <row r="1047534" customFormat="false" ht="15" hidden="false" customHeight="false" outlineLevel="0" collapsed="false"/>
    <row r="1047535" customFormat="false" ht="15" hidden="false" customHeight="false" outlineLevel="0" collapsed="false"/>
    <row r="1047536" customFormat="false" ht="15" hidden="false" customHeight="false" outlineLevel="0" collapsed="false"/>
    <row r="1047537" customFormat="false" ht="15" hidden="false" customHeight="false" outlineLevel="0" collapsed="false"/>
    <row r="1047538" customFormat="false" ht="15" hidden="false" customHeight="false" outlineLevel="0" collapsed="false"/>
    <row r="1047539" customFormat="false" ht="15" hidden="false" customHeight="false" outlineLevel="0" collapsed="false"/>
    <row r="1047540" customFormat="false" ht="15" hidden="false" customHeight="false" outlineLevel="0" collapsed="false"/>
    <row r="1047541" customFormat="false" ht="15" hidden="false" customHeight="false" outlineLevel="0" collapsed="false"/>
    <row r="1047542" customFormat="false" ht="15" hidden="false" customHeight="false" outlineLevel="0" collapsed="false"/>
    <row r="1047543" customFormat="false" ht="15" hidden="false" customHeight="false" outlineLevel="0" collapsed="false"/>
    <row r="1047544" customFormat="false" ht="15" hidden="false" customHeight="false" outlineLevel="0" collapsed="false"/>
    <row r="1047545" customFormat="false" ht="15" hidden="false" customHeight="false" outlineLevel="0" collapsed="false"/>
    <row r="1047546" customFormat="false" ht="15" hidden="false" customHeight="false" outlineLevel="0" collapsed="false"/>
    <row r="1047547" customFormat="false" ht="15" hidden="false" customHeight="false" outlineLevel="0" collapsed="false"/>
    <row r="1047548" customFormat="false" ht="15" hidden="false" customHeight="false" outlineLevel="0" collapsed="false"/>
    <row r="1047549" customFormat="false" ht="15" hidden="false" customHeight="false" outlineLevel="0" collapsed="false"/>
    <row r="1047550" customFormat="false" ht="15" hidden="false" customHeight="false" outlineLevel="0" collapsed="false"/>
    <row r="1047551" customFormat="false" ht="15" hidden="false" customHeight="false" outlineLevel="0" collapsed="false"/>
    <row r="1047552" customFormat="false" ht="15" hidden="false" customHeight="false" outlineLevel="0" collapsed="false"/>
    <row r="1047553" customFormat="false" ht="15" hidden="false" customHeight="false" outlineLevel="0" collapsed="false"/>
    <row r="1047554" customFormat="false" ht="15" hidden="false" customHeight="false" outlineLevel="0" collapsed="false"/>
    <row r="1047555" customFormat="false" ht="15" hidden="false" customHeight="false" outlineLevel="0" collapsed="false"/>
    <row r="1047556" customFormat="false" ht="15" hidden="false" customHeight="false" outlineLevel="0" collapsed="false"/>
    <row r="1047557" customFormat="false" ht="15" hidden="false" customHeight="false" outlineLevel="0" collapsed="false"/>
    <row r="1047558" customFormat="false" ht="15" hidden="false" customHeight="false" outlineLevel="0" collapsed="false"/>
    <row r="1047559" customFormat="false" ht="15" hidden="false" customHeight="false" outlineLevel="0" collapsed="false"/>
    <row r="1047560" customFormat="false" ht="15" hidden="false" customHeight="false" outlineLevel="0" collapsed="false"/>
    <row r="1047561" customFormat="false" ht="15" hidden="false" customHeight="false" outlineLevel="0" collapsed="false"/>
    <row r="1047562" customFormat="false" ht="15" hidden="false" customHeight="false" outlineLevel="0" collapsed="false"/>
    <row r="1047563" customFormat="false" ht="15" hidden="false" customHeight="false" outlineLevel="0" collapsed="false"/>
    <row r="1047564" customFormat="false" ht="15" hidden="false" customHeight="false" outlineLevel="0" collapsed="false"/>
    <row r="1047565" customFormat="false" ht="15" hidden="false" customHeight="false" outlineLevel="0" collapsed="false"/>
    <row r="1047566" customFormat="false" ht="15" hidden="false" customHeight="false" outlineLevel="0" collapsed="false"/>
    <row r="1047567" customFormat="false" ht="15" hidden="false" customHeight="false" outlineLevel="0" collapsed="false"/>
    <row r="1047568" customFormat="false" ht="15" hidden="false" customHeight="false" outlineLevel="0" collapsed="false"/>
    <row r="1047569" customFormat="false" ht="15" hidden="false" customHeight="false" outlineLevel="0" collapsed="false"/>
    <row r="1047570" customFormat="false" ht="15" hidden="false" customHeight="false" outlineLevel="0" collapsed="false"/>
    <row r="1047571" customFormat="false" ht="15" hidden="false" customHeight="false" outlineLevel="0" collapsed="false"/>
    <row r="1047572" customFormat="false" ht="15" hidden="false" customHeight="false" outlineLevel="0" collapsed="false"/>
    <row r="1047573" customFormat="false" ht="15" hidden="false" customHeight="false" outlineLevel="0" collapsed="false"/>
    <row r="1047574" customFormat="false" ht="15" hidden="false" customHeight="false" outlineLevel="0" collapsed="false"/>
    <row r="1047575" customFormat="false" ht="15" hidden="false" customHeight="false" outlineLevel="0" collapsed="false"/>
    <row r="1047576" customFormat="false" ht="15" hidden="false" customHeight="false" outlineLevel="0" collapsed="false"/>
    <row r="1047577" customFormat="false" ht="15" hidden="false" customHeight="false" outlineLevel="0" collapsed="false"/>
    <row r="1047578" customFormat="false" ht="15" hidden="false" customHeight="false" outlineLevel="0" collapsed="false"/>
    <row r="1047579" customFormat="false" ht="15" hidden="false" customHeight="false" outlineLevel="0" collapsed="false"/>
    <row r="1047580" customFormat="false" ht="15" hidden="false" customHeight="false" outlineLevel="0" collapsed="false"/>
    <row r="1047581" customFormat="false" ht="15" hidden="false" customHeight="false" outlineLevel="0" collapsed="false"/>
    <row r="1047582" customFormat="false" ht="15" hidden="false" customHeight="false" outlineLevel="0" collapsed="false"/>
    <row r="1047583" customFormat="false" ht="15" hidden="false" customHeight="false" outlineLevel="0" collapsed="false"/>
    <row r="1047584" customFormat="false" ht="15" hidden="false" customHeight="false" outlineLevel="0" collapsed="false"/>
    <row r="1047585" customFormat="false" ht="15" hidden="false" customHeight="false" outlineLevel="0" collapsed="false"/>
    <row r="1047586" customFormat="false" ht="15" hidden="false" customHeight="false" outlineLevel="0" collapsed="false"/>
    <row r="1047587" customFormat="false" ht="15" hidden="false" customHeight="false" outlineLevel="0" collapsed="false"/>
    <row r="1047588" customFormat="false" ht="15" hidden="false" customHeight="false" outlineLevel="0" collapsed="false"/>
    <row r="1047589" customFormat="false" ht="15" hidden="false" customHeight="false" outlineLevel="0" collapsed="false"/>
    <row r="1047590" customFormat="false" ht="15" hidden="false" customHeight="false" outlineLevel="0" collapsed="false"/>
    <row r="1047591" customFormat="false" ht="15" hidden="false" customHeight="false" outlineLevel="0" collapsed="false"/>
    <row r="1047592" customFormat="false" ht="15" hidden="false" customHeight="false" outlineLevel="0" collapsed="false"/>
    <row r="1047593" customFormat="false" ht="15" hidden="false" customHeight="false" outlineLevel="0" collapsed="false"/>
    <row r="1047594" customFormat="false" ht="15" hidden="false" customHeight="false" outlineLevel="0" collapsed="false"/>
    <row r="1047595" customFormat="false" ht="15" hidden="false" customHeight="false" outlineLevel="0" collapsed="false"/>
    <row r="1047596" customFormat="false" ht="15" hidden="false" customHeight="false" outlineLevel="0" collapsed="false"/>
    <row r="1047597" customFormat="false" ht="15" hidden="false" customHeight="false" outlineLevel="0" collapsed="false"/>
    <row r="1047598" customFormat="false" ht="15" hidden="false" customHeight="false" outlineLevel="0" collapsed="false"/>
    <row r="1047599" customFormat="false" ht="15" hidden="false" customHeight="false" outlineLevel="0" collapsed="false"/>
    <row r="1047600" customFormat="false" ht="15" hidden="false" customHeight="false" outlineLevel="0" collapsed="false"/>
    <row r="1047601" customFormat="false" ht="15" hidden="false" customHeight="false" outlineLevel="0" collapsed="false"/>
    <row r="1047602" customFormat="false" ht="15" hidden="false" customHeight="false" outlineLevel="0" collapsed="false"/>
    <row r="1047603" customFormat="false" ht="15" hidden="false" customHeight="false" outlineLevel="0" collapsed="false"/>
    <row r="1047604" customFormat="false" ht="15" hidden="false" customHeight="false" outlineLevel="0" collapsed="false"/>
    <row r="1047605" customFormat="false" ht="15" hidden="false" customHeight="false" outlineLevel="0" collapsed="false"/>
    <row r="1047606" customFormat="false" ht="15" hidden="false" customHeight="false" outlineLevel="0" collapsed="false"/>
    <row r="1047607" customFormat="false" ht="15" hidden="false" customHeight="false" outlineLevel="0" collapsed="false"/>
    <row r="1047608" customFormat="false" ht="15" hidden="false" customHeight="false" outlineLevel="0" collapsed="false"/>
    <row r="1047609" customFormat="false" ht="15" hidden="false" customHeight="false" outlineLevel="0" collapsed="false"/>
    <row r="1047610" customFormat="false" ht="15" hidden="false" customHeight="false" outlineLevel="0" collapsed="false"/>
    <row r="1047611" customFormat="false" ht="15" hidden="false" customHeight="false" outlineLevel="0" collapsed="false"/>
    <row r="1047612" customFormat="false" ht="15" hidden="false" customHeight="false" outlineLevel="0" collapsed="false"/>
    <row r="1047613" customFormat="false" ht="15" hidden="false" customHeight="false" outlineLevel="0" collapsed="false"/>
    <row r="1047614" customFormat="false" ht="15" hidden="false" customHeight="false" outlineLevel="0" collapsed="false"/>
    <row r="1047615" customFormat="false" ht="15" hidden="false" customHeight="false" outlineLevel="0" collapsed="false"/>
    <row r="1047616" customFormat="false" ht="15" hidden="false" customHeight="false" outlineLevel="0" collapsed="false"/>
    <row r="1047617" customFormat="false" ht="15" hidden="false" customHeight="false" outlineLevel="0" collapsed="false"/>
    <row r="1047618" customFormat="false" ht="15" hidden="false" customHeight="false" outlineLevel="0" collapsed="false"/>
    <row r="1047619" customFormat="false" ht="15" hidden="false" customHeight="false" outlineLevel="0" collapsed="false"/>
    <row r="1047620" customFormat="false" ht="15" hidden="false" customHeight="false" outlineLevel="0" collapsed="false"/>
    <row r="1047621" customFormat="false" ht="15" hidden="false" customHeight="false" outlineLevel="0" collapsed="false"/>
    <row r="1047622" customFormat="false" ht="15" hidden="false" customHeight="false" outlineLevel="0" collapsed="false"/>
    <row r="1047623" customFormat="false" ht="15" hidden="false" customHeight="false" outlineLevel="0" collapsed="false"/>
    <row r="1047624" customFormat="false" ht="15" hidden="false" customHeight="false" outlineLevel="0" collapsed="false"/>
    <row r="1047625" customFormat="false" ht="15" hidden="false" customHeight="false" outlineLevel="0" collapsed="false"/>
    <row r="1047626" customFormat="false" ht="15" hidden="false" customHeight="false" outlineLevel="0" collapsed="false"/>
    <row r="1047627" customFormat="false" ht="15" hidden="false" customHeight="false" outlineLevel="0" collapsed="false"/>
    <row r="1047628" customFormat="false" ht="15" hidden="false" customHeight="false" outlineLevel="0" collapsed="false"/>
    <row r="1047629" customFormat="false" ht="15" hidden="false" customHeight="false" outlineLevel="0" collapsed="false"/>
    <row r="1047630" customFormat="false" ht="15" hidden="false" customHeight="false" outlineLevel="0" collapsed="false"/>
    <row r="1047631" customFormat="false" ht="15" hidden="false" customHeight="false" outlineLevel="0" collapsed="false"/>
    <row r="1047632" customFormat="false" ht="15" hidden="false" customHeight="false" outlineLevel="0" collapsed="false"/>
    <row r="1047633" customFormat="false" ht="15" hidden="false" customHeight="false" outlineLevel="0" collapsed="false"/>
    <row r="1047634" customFormat="false" ht="15" hidden="false" customHeight="false" outlineLevel="0" collapsed="false"/>
    <row r="1047635" customFormat="false" ht="15" hidden="false" customHeight="false" outlineLevel="0" collapsed="false"/>
    <row r="1047636" customFormat="false" ht="15" hidden="false" customHeight="false" outlineLevel="0" collapsed="false"/>
    <row r="1047637" customFormat="false" ht="15" hidden="false" customHeight="false" outlineLevel="0" collapsed="false"/>
    <row r="1047638" customFormat="false" ht="15" hidden="false" customHeight="false" outlineLevel="0" collapsed="false"/>
    <row r="1047639" customFormat="false" ht="15" hidden="false" customHeight="false" outlineLevel="0" collapsed="false"/>
    <row r="1047640" customFormat="false" ht="15" hidden="false" customHeight="false" outlineLevel="0" collapsed="false"/>
    <row r="1047641" customFormat="false" ht="15" hidden="false" customHeight="false" outlineLevel="0" collapsed="false"/>
    <row r="1047642" customFormat="false" ht="15" hidden="false" customHeight="false" outlineLevel="0" collapsed="false"/>
    <row r="1047643" customFormat="false" ht="15" hidden="false" customHeight="false" outlineLevel="0" collapsed="false"/>
    <row r="1047644" customFormat="false" ht="15" hidden="false" customHeight="false" outlineLevel="0" collapsed="false"/>
    <row r="1047645" customFormat="false" ht="15" hidden="false" customHeight="false" outlineLevel="0" collapsed="false"/>
    <row r="1047646" customFormat="false" ht="15" hidden="false" customHeight="false" outlineLevel="0" collapsed="false"/>
    <row r="1047647" customFormat="false" ht="15" hidden="false" customHeight="false" outlineLevel="0" collapsed="false"/>
    <row r="1047648" customFormat="false" ht="15" hidden="false" customHeight="false" outlineLevel="0" collapsed="false"/>
    <row r="1047649" customFormat="false" ht="15" hidden="false" customHeight="false" outlineLevel="0" collapsed="false"/>
    <row r="1047650" customFormat="false" ht="15" hidden="false" customHeight="false" outlineLevel="0" collapsed="false"/>
    <row r="1047651" customFormat="false" ht="15" hidden="false" customHeight="false" outlineLevel="0" collapsed="false"/>
    <row r="1047652" customFormat="false" ht="15" hidden="false" customHeight="false" outlineLevel="0" collapsed="false"/>
    <row r="1047653" customFormat="false" ht="15" hidden="false" customHeight="false" outlineLevel="0" collapsed="false"/>
    <row r="1047654" customFormat="false" ht="15" hidden="false" customHeight="false" outlineLevel="0" collapsed="false"/>
    <row r="1047655" customFormat="false" ht="15" hidden="false" customHeight="false" outlineLevel="0" collapsed="false"/>
    <row r="1047656" customFormat="false" ht="15" hidden="false" customHeight="false" outlineLevel="0" collapsed="false"/>
    <row r="1047657" customFormat="false" ht="15" hidden="false" customHeight="false" outlineLevel="0" collapsed="false"/>
    <row r="1047658" customFormat="false" ht="15" hidden="false" customHeight="false" outlineLevel="0" collapsed="false"/>
    <row r="1047659" customFormat="false" ht="15" hidden="false" customHeight="false" outlineLevel="0" collapsed="false"/>
    <row r="1047660" customFormat="false" ht="15" hidden="false" customHeight="false" outlineLevel="0" collapsed="false"/>
    <row r="1047661" customFormat="false" ht="15" hidden="false" customHeight="false" outlineLevel="0" collapsed="false"/>
    <row r="1047662" customFormat="false" ht="15" hidden="false" customHeight="false" outlineLevel="0" collapsed="false"/>
    <row r="1047663" customFormat="false" ht="15" hidden="false" customHeight="false" outlineLevel="0" collapsed="false"/>
    <row r="1047664" customFormat="false" ht="15" hidden="false" customHeight="false" outlineLevel="0" collapsed="false"/>
    <row r="1047665" customFormat="false" ht="15" hidden="false" customHeight="false" outlineLevel="0" collapsed="false"/>
    <row r="1047666" customFormat="false" ht="15" hidden="false" customHeight="false" outlineLevel="0" collapsed="false"/>
    <row r="1047667" customFormat="false" ht="15" hidden="false" customHeight="false" outlineLevel="0" collapsed="false"/>
    <row r="1047668" customFormat="false" ht="15" hidden="false" customHeight="false" outlineLevel="0" collapsed="false"/>
    <row r="1047669" customFormat="false" ht="15" hidden="false" customHeight="false" outlineLevel="0" collapsed="false"/>
    <row r="1047670" customFormat="false" ht="15" hidden="false" customHeight="false" outlineLevel="0" collapsed="false"/>
    <row r="1047671" customFormat="false" ht="15" hidden="false" customHeight="false" outlineLevel="0" collapsed="false"/>
    <row r="1047672" customFormat="false" ht="15" hidden="false" customHeight="false" outlineLevel="0" collapsed="false"/>
    <row r="1047673" customFormat="false" ht="15" hidden="false" customHeight="false" outlineLevel="0" collapsed="false"/>
    <row r="1047674" customFormat="false" ht="15" hidden="false" customHeight="false" outlineLevel="0" collapsed="false"/>
    <row r="1047675" customFormat="false" ht="15" hidden="false" customHeight="false" outlineLevel="0" collapsed="false"/>
    <row r="1047676" customFormat="false" ht="15" hidden="false" customHeight="false" outlineLevel="0" collapsed="false"/>
    <row r="1047677" customFormat="false" ht="15" hidden="false" customHeight="false" outlineLevel="0" collapsed="false"/>
    <row r="1047678" customFormat="false" ht="15" hidden="false" customHeight="false" outlineLevel="0" collapsed="false"/>
    <row r="1047679" customFormat="false" ht="15" hidden="false" customHeight="false" outlineLevel="0" collapsed="false"/>
    <row r="1047680" customFormat="false" ht="15" hidden="false" customHeight="false" outlineLevel="0" collapsed="false"/>
    <row r="1047681" customFormat="false" ht="15" hidden="false" customHeight="false" outlineLevel="0" collapsed="false"/>
    <row r="1047682" customFormat="false" ht="15" hidden="false" customHeight="false" outlineLevel="0" collapsed="false"/>
    <row r="1047683" customFormat="false" ht="15" hidden="false" customHeight="false" outlineLevel="0" collapsed="false"/>
    <row r="1047684" customFormat="false" ht="15" hidden="false" customHeight="false" outlineLevel="0" collapsed="false"/>
    <row r="1047685" customFormat="false" ht="15" hidden="false" customHeight="false" outlineLevel="0" collapsed="false"/>
    <row r="1047686" customFormat="false" ht="15" hidden="false" customHeight="false" outlineLevel="0" collapsed="false"/>
    <row r="1047687" customFormat="false" ht="15" hidden="false" customHeight="false" outlineLevel="0" collapsed="false"/>
    <row r="1047688" customFormat="false" ht="15" hidden="false" customHeight="false" outlineLevel="0" collapsed="false"/>
    <row r="1047689" customFormat="false" ht="15" hidden="false" customHeight="false" outlineLevel="0" collapsed="false"/>
    <row r="1047690" customFormat="false" ht="15" hidden="false" customHeight="false" outlineLevel="0" collapsed="false"/>
    <row r="1047691" customFormat="false" ht="15" hidden="false" customHeight="false" outlineLevel="0" collapsed="false"/>
    <row r="1047692" customFormat="false" ht="15" hidden="false" customHeight="false" outlineLevel="0" collapsed="false"/>
    <row r="1047693" customFormat="false" ht="15" hidden="false" customHeight="false" outlineLevel="0" collapsed="false"/>
    <row r="1047694" customFormat="false" ht="15" hidden="false" customHeight="false" outlineLevel="0" collapsed="false"/>
    <row r="1047695" customFormat="false" ht="15" hidden="false" customHeight="false" outlineLevel="0" collapsed="false"/>
    <row r="1047696" customFormat="false" ht="15" hidden="false" customHeight="false" outlineLevel="0" collapsed="false"/>
    <row r="1047697" customFormat="false" ht="15" hidden="false" customHeight="false" outlineLevel="0" collapsed="false"/>
    <row r="1047698" customFormat="false" ht="15" hidden="false" customHeight="false" outlineLevel="0" collapsed="false"/>
    <row r="1047699" customFormat="false" ht="15" hidden="false" customHeight="false" outlineLevel="0" collapsed="false"/>
    <row r="1047700" customFormat="false" ht="15" hidden="false" customHeight="false" outlineLevel="0" collapsed="false"/>
    <row r="1047701" customFormat="false" ht="15" hidden="false" customHeight="false" outlineLevel="0" collapsed="false"/>
    <row r="1047702" customFormat="false" ht="15" hidden="false" customHeight="false" outlineLevel="0" collapsed="false"/>
    <row r="1047703" customFormat="false" ht="15" hidden="false" customHeight="false" outlineLevel="0" collapsed="false"/>
    <row r="1047704" customFormat="false" ht="15" hidden="false" customHeight="false" outlineLevel="0" collapsed="false"/>
    <row r="1047705" customFormat="false" ht="15" hidden="false" customHeight="false" outlineLevel="0" collapsed="false"/>
    <row r="1047706" customFormat="false" ht="15" hidden="false" customHeight="false" outlineLevel="0" collapsed="false"/>
    <row r="1047707" customFormat="false" ht="15" hidden="false" customHeight="false" outlineLevel="0" collapsed="false"/>
    <row r="1047708" customFormat="false" ht="15" hidden="false" customHeight="false" outlineLevel="0" collapsed="false"/>
    <row r="1047709" customFormat="false" ht="15" hidden="false" customHeight="false" outlineLevel="0" collapsed="false"/>
    <row r="1047710" customFormat="false" ht="15" hidden="false" customHeight="false" outlineLevel="0" collapsed="false"/>
    <row r="1047711" customFormat="false" ht="15" hidden="false" customHeight="false" outlineLevel="0" collapsed="false"/>
    <row r="1047712" customFormat="false" ht="15" hidden="false" customHeight="false" outlineLevel="0" collapsed="false"/>
    <row r="1047713" customFormat="false" ht="15" hidden="false" customHeight="false" outlineLevel="0" collapsed="false"/>
    <row r="1047714" customFormat="false" ht="15" hidden="false" customHeight="false" outlineLevel="0" collapsed="false"/>
    <row r="1047715" customFormat="false" ht="15" hidden="false" customHeight="false" outlineLevel="0" collapsed="false"/>
    <row r="1047716" customFormat="false" ht="15" hidden="false" customHeight="false" outlineLevel="0" collapsed="false"/>
    <row r="1047717" customFormat="false" ht="15" hidden="false" customHeight="false" outlineLevel="0" collapsed="false"/>
    <row r="1047718" customFormat="false" ht="15" hidden="false" customHeight="false" outlineLevel="0" collapsed="false"/>
    <row r="1047719" customFormat="false" ht="15" hidden="false" customHeight="false" outlineLevel="0" collapsed="false"/>
    <row r="1047720" customFormat="false" ht="15" hidden="false" customHeight="false" outlineLevel="0" collapsed="false"/>
    <row r="1047721" customFormat="false" ht="15" hidden="false" customHeight="false" outlineLevel="0" collapsed="false"/>
    <row r="1047722" customFormat="false" ht="15" hidden="false" customHeight="false" outlineLevel="0" collapsed="false"/>
    <row r="1047723" customFormat="false" ht="15" hidden="false" customHeight="false" outlineLevel="0" collapsed="false"/>
    <row r="1047724" customFormat="false" ht="15" hidden="false" customHeight="false" outlineLevel="0" collapsed="false"/>
    <row r="1047725" customFormat="false" ht="15" hidden="false" customHeight="false" outlineLevel="0" collapsed="false"/>
    <row r="1047726" customFormat="false" ht="15" hidden="false" customHeight="false" outlineLevel="0" collapsed="false"/>
    <row r="1047727" customFormat="false" ht="15" hidden="false" customHeight="false" outlineLevel="0" collapsed="false"/>
    <row r="1047728" customFormat="false" ht="15" hidden="false" customHeight="false" outlineLevel="0" collapsed="false"/>
    <row r="1047729" customFormat="false" ht="15" hidden="false" customHeight="false" outlineLevel="0" collapsed="false"/>
    <row r="1047730" customFormat="false" ht="15" hidden="false" customHeight="false" outlineLevel="0" collapsed="false"/>
    <row r="1047731" customFormat="false" ht="15" hidden="false" customHeight="false" outlineLevel="0" collapsed="false"/>
    <row r="1047732" customFormat="false" ht="15" hidden="false" customHeight="false" outlineLevel="0" collapsed="false"/>
    <row r="1047733" customFormat="false" ht="15" hidden="false" customHeight="false" outlineLevel="0" collapsed="false"/>
    <row r="1047734" customFormat="false" ht="15" hidden="false" customHeight="false" outlineLevel="0" collapsed="false"/>
    <row r="1047735" customFormat="false" ht="15" hidden="false" customHeight="false" outlineLevel="0" collapsed="false"/>
    <row r="1047736" customFormat="false" ht="15" hidden="false" customHeight="false" outlineLevel="0" collapsed="false"/>
    <row r="1047737" customFormat="false" ht="15" hidden="false" customHeight="false" outlineLevel="0" collapsed="false"/>
    <row r="1047738" customFormat="false" ht="15" hidden="false" customHeight="false" outlineLevel="0" collapsed="false"/>
    <row r="1047739" customFormat="false" ht="15" hidden="false" customHeight="false" outlineLevel="0" collapsed="false"/>
    <row r="1047740" customFormat="false" ht="15" hidden="false" customHeight="false" outlineLevel="0" collapsed="false"/>
    <row r="1047741" customFormat="false" ht="15" hidden="false" customHeight="false" outlineLevel="0" collapsed="false"/>
    <row r="1047742" customFormat="false" ht="15" hidden="false" customHeight="false" outlineLevel="0" collapsed="false"/>
    <row r="1047743" customFormat="false" ht="15" hidden="false" customHeight="false" outlineLevel="0" collapsed="false"/>
    <row r="1047744" customFormat="false" ht="15" hidden="false" customHeight="false" outlineLevel="0" collapsed="false"/>
    <row r="1047745" customFormat="false" ht="15" hidden="false" customHeight="false" outlineLevel="0" collapsed="false"/>
    <row r="1047746" customFormat="false" ht="15" hidden="false" customHeight="false" outlineLevel="0" collapsed="false"/>
    <row r="1047747" customFormat="false" ht="15" hidden="false" customHeight="false" outlineLevel="0" collapsed="false"/>
    <row r="1047748" customFormat="false" ht="15" hidden="false" customHeight="false" outlineLevel="0" collapsed="false"/>
    <row r="1047749" customFormat="false" ht="15" hidden="false" customHeight="false" outlineLevel="0" collapsed="false"/>
    <row r="1047750" customFormat="false" ht="15" hidden="false" customHeight="false" outlineLevel="0" collapsed="false"/>
    <row r="1047751" customFormat="false" ht="15" hidden="false" customHeight="false" outlineLevel="0" collapsed="false"/>
    <row r="1047752" customFormat="false" ht="15" hidden="false" customHeight="false" outlineLevel="0" collapsed="false"/>
    <row r="1047753" customFormat="false" ht="15" hidden="false" customHeight="false" outlineLevel="0" collapsed="false"/>
    <row r="1047754" customFormat="false" ht="15" hidden="false" customHeight="false" outlineLevel="0" collapsed="false"/>
    <row r="1047755" customFormat="false" ht="15" hidden="false" customHeight="false" outlineLevel="0" collapsed="false"/>
    <row r="1047756" customFormat="false" ht="15" hidden="false" customHeight="false" outlineLevel="0" collapsed="false"/>
    <row r="1047757" customFormat="false" ht="15" hidden="false" customHeight="false" outlineLevel="0" collapsed="false"/>
    <row r="1047758" customFormat="false" ht="15" hidden="false" customHeight="false" outlineLevel="0" collapsed="false"/>
    <row r="1047759" customFormat="false" ht="15" hidden="false" customHeight="false" outlineLevel="0" collapsed="false"/>
    <row r="1047760" customFormat="false" ht="15" hidden="false" customHeight="false" outlineLevel="0" collapsed="false"/>
    <row r="1047761" customFormat="false" ht="15" hidden="false" customHeight="false" outlineLevel="0" collapsed="false"/>
    <row r="1047762" customFormat="false" ht="15" hidden="false" customHeight="false" outlineLevel="0" collapsed="false"/>
    <row r="1047763" customFormat="false" ht="15" hidden="false" customHeight="false" outlineLevel="0" collapsed="false"/>
    <row r="1047764" customFormat="false" ht="15" hidden="false" customHeight="false" outlineLevel="0" collapsed="false"/>
    <row r="1047765" customFormat="false" ht="15" hidden="false" customHeight="false" outlineLevel="0" collapsed="false"/>
    <row r="1047766" customFormat="false" ht="15" hidden="false" customHeight="false" outlineLevel="0" collapsed="false"/>
    <row r="1047767" customFormat="false" ht="15" hidden="false" customHeight="false" outlineLevel="0" collapsed="false"/>
    <row r="1047768" customFormat="false" ht="15" hidden="false" customHeight="false" outlineLevel="0" collapsed="false"/>
    <row r="1047769" customFormat="false" ht="15" hidden="false" customHeight="false" outlineLevel="0" collapsed="false"/>
    <row r="1047770" customFormat="false" ht="15" hidden="false" customHeight="false" outlineLevel="0" collapsed="false"/>
    <row r="1047771" customFormat="false" ht="15" hidden="false" customHeight="false" outlineLevel="0" collapsed="false"/>
    <row r="1047772" customFormat="false" ht="15" hidden="false" customHeight="false" outlineLevel="0" collapsed="false"/>
    <row r="1047773" customFormat="false" ht="15" hidden="false" customHeight="false" outlineLevel="0" collapsed="false"/>
    <row r="1047774" customFormat="false" ht="15" hidden="false" customHeight="false" outlineLevel="0" collapsed="false"/>
    <row r="1047775" customFormat="false" ht="15" hidden="false" customHeight="false" outlineLevel="0" collapsed="false"/>
    <row r="1047776" customFormat="false" ht="15" hidden="false" customHeight="false" outlineLevel="0" collapsed="false"/>
    <row r="1047777" customFormat="false" ht="15" hidden="false" customHeight="false" outlineLevel="0" collapsed="false"/>
    <row r="1047778" customFormat="false" ht="15" hidden="false" customHeight="false" outlineLevel="0" collapsed="false"/>
    <row r="1047779" customFormat="false" ht="15" hidden="false" customHeight="false" outlineLevel="0" collapsed="false"/>
    <row r="1047780" customFormat="false" ht="15" hidden="false" customHeight="false" outlineLevel="0" collapsed="false"/>
    <row r="1047781" customFormat="false" ht="15" hidden="false" customHeight="false" outlineLevel="0" collapsed="false"/>
    <row r="1047782" customFormat="false" ht="15" hidden="false" customHeight="false" outlineLevel="0" collapsed="false"/>
    <row r="1047783" customFormat="false" ht="15" hidden="false" customHeight="false" outlineLevel="0" collapsed="false"/>
    <row r="1047784" customFormat="false" ht="15" hidden="false" customHeight="false" outlineLevel="0" collapsed="false"/>
    <row r="1047785" customFormat="false" ht="15" hidden="false" customHeight="false" outlineLevel="0" collapsed="false"/>
    <row r="1047786" customFormat="false" ht="15" hidden="false" customHeight="false" outlineLevel="0" collapsed="false"/>
    <row r="1047787" customFormat="false" ht="15" hidden="false" customHeight="false" outlineLevel="0" collapsed="false"/>
    <row r="1047788" customFormat="false" ht="15" hidden="false" customHeight="false" outlineLevel="0" collapsed="false"/>
    <row r="1047789" customFormat="false" ht="15" hidden="false" customHeight="false" outlineLevel="0" collapsed="false"/>
    <row r="1047790" customFormat="false" ht="15" hidden="false" customHeight="false" outlineLevel="0" collapsed="false"/>
    <row r="1047791" customFormat="false" ht="15" hidden="false" customHeight="false" outlineLevel="0" collapsed="false"/>
    <row r="1047792" customFormat="false" ht="15" hidden="false" customHeight="false" outlineLevel="0" collapsed="false"/>
    <row r="1047793" customFormat="false" ht="15" hidden="false" customHeight="false" outlineLevel="0" collapsed="false"/>
    <row r="1047794" customFormat="false" ht="15" hidden="false" customHeight="false" outlineLevel="0" collapsed="false"/>
    <row r="1047795" customFormat="false" ht="15" hidden="false" customHeight="false" outlineLevel="0" collapsed="false"/>
    <row r="1047796" customFormat="false" ht="15" hidden="false" customHeight="false" outlineLevel="0" collapsed="false"/>
    <row r="1047797" customFormat="false" ht="15" hidden="false" customHeight="false" outlineLevel="0" collapsed="false"/>
    <row r="1047798" customFormat="false" ht="15" hidden="false" customHeight="false" outlineLevel="0" collapsed="false"/>
    <row r="1047799" customFormat="false" ht="15" hidden="false" customHeight="false" outlineLevel="0" collapsed="false"/>
    <row r="1047800" customFormat="false" ht="15" hidden="false" customHeight="false" outlineLevel="0" collapsed="false"/>
    <row r="1047801" customFormat="false" ht="15" hidden="false" customHeight="false" outlineLevel="0" collapsed="false"/>
    <row r="1047802" customFormat="false" ht="15" hidden="false" customHeight="false" outlineLevel="0" collapsed="false"/>
    <row r="1047803" customFormat="false" ht="15" hidden="false" customHeight="false" outlineLevel="0" collapsed="false"/>
    <row r="1047804" customFormat="false" ht="15" hidden="false" customHeight="false" outlineLevel="0" collapsed="false"/>
    <row r="1047805" customFormat="false" ht="15" hidden="false" customHeight="false" outlineLevel="0" collapsed="false"/>
    <row r="1047806" customFormat="false" ht="15" hidden="false" customHeight="false" outlineLevel="0" collapsed="false"/>
    <row r="1047807" customFormat="false" ht="15" hidden="false" customHeight="false" outlineLevel="0" collapsed="false"/>
    <row r="1047808" customFormat="false" ht="15" hidden="false" customHeight="false" outlineLevel="0" collapsed="false"/>
    <row r="1047809" customFormat="false" ht="15" hidden="false" customHeight="false" outlineLevel="0" collapsed="false"/>
    <row r="1047810" customFormat="false" ht="15" hidden="false" customHeight="false" outlineLevel="0" collapsed="false"/>
    <row r="1047811" customFormat="false" ht="15" hidden="false" customHeight="false" outlineLevel="0" collapsed="false"/>
    <row r="1047812" customFormat="false" ht="15" hidden="false" customHeight="false" outlineLevel="0" collapsed="false"/>
    <row r="1047813" customFormat="false" ht="15" hidden="false" customHeight="false" outlineLevel="0" collapsed="false"/>
    <row r="1047814" customFormat="false" ht="15" hidden="false" customHeight="false" outlineLevel="0" collapsed="false"/>
    <row r="1047815" customFormat="false" ht="15" hidden="false" customHeight="false" outlineLevel="0" collapsed="false"/>
    <row r="1047816" customFormat="false" ht="15" hidden="false" customHeight="false" outlineLevel="0" collapsed="false"/>
    <row r="1047817" customFormat="false" ht="15" hidden="false" customHeight="false" outlineLevel="0" collapsed="false"/>
    <row r="1047818" customFormat="false" ht="15" hidden="false" customHeight="false" outlineLevel="0" collapsed="false"/>
    <row r="1047819" customFormat="false" ht="15" hidden="false" customHeight="false" outlineLevel="0" collapsed="false"/>
    <row r="1047820" customFormat="false" ht="15" hidden="false" customHeight="false" outlineLevel="0" collapsed="false"/>
    <row r="1047821" customFormat="false" ht="15" hidden="false" customHeight="false" outlineLevel="0" collapsed="false"/>
    <row r="1047822" customFormat="false" ht="15" hidden="false" customHeight="false" outlineLevel="0" collapsed="false"/>
    <row r="1047823" customFormat="false" ht="15" hidden="false" customHeight="false" outlineLevel="0" collapsed="false"/>
    <row r="1047824" customFormat="false" ht="15" hidden="false" customHeight="false" outlineLevel="0" collapsed="false"/>
    <row r="1047825" customFormat="false" ht="15" hidden="false" customHeight="false" outlineLevel="0" collapsed="false"/>
    <row r="1047826" customFormat="false" ht="15" hidden="false" customHeight="false" outlineLevel="0" collapsed="false"/>
    <row r="1047827" customFormat="false" ht="15" hidden="false" customHeight="false" outlineLevel="0" collapsed="false"/>
    <row r="1047828" customFormat="false" ht="15" hidden="false" customHeight="false" outlineLevel="0" collapsed="false"/>
    <row r="1047829" customFormat="false" ht="15" hidden="false" customHeight="false" outlineLevel="0" collapsed="false"/>
    <row r="1047830" customFormat="false" ht="15" hidden="false" customHeight="false" outlineLevel="0" collapsed="false"/>
    <row r="1047831" customFormat="false" ht="15" hidden="false" customHeight="false" outlineLevel="0" collapsed="false"/>
    <row r="1047832" customFormat="false" ht="15" hidden="false" customHeight="false" outlineLevel="0" collapsed="false"/>
    <row r="1047833" customFormat="false" ht="15" hidden="false" customHeight="false" outlineLevel="0" collapsed="false"/>
    <row r="1047834" customFormat="false" ht="15" hidden="false" customHeight="false" outlineLevel="0" collapsed="false"/>
    <row r="1047835" customFormat="false" ht="15" hidden="false" customHeight="false" outlineLevel="0" collapsed="false"/>
    <row r="1047836" customFormat="false" ht="15" hidden="false" customHeight="false" outlineLevel="0" collapsed="false"/>
    <row r="1047837" customFormat="false" ht="15" hidden="false" customHeight="false" outlineLevel="0" collapsed="false"/>
    <row r="1047838" customFormat="false" ht="15" hidden="false" customHeight="false" outlineLevel="0" collapsed="false"/>
    <row r="1047839" customFormat="false" ht="15" hidden="false" customHeight="false" outlineLevel="0" collapsed="false"/>
    <row r="1047840" customFormat="false" ht="15" hidden="false" customHeight="false" outlineLevel="0" collapsed="false"/>
    <row r="1047841" customFormat="false" ht="15" hidden="false" customHeight="false" outlineLevel="0" collapsed="false"/>
    <row r="1047842" customFormat="false" ht="15" hidden="false" customHeight="false" outlineLevel="0" collapsed="false"/>
    <row r="1047843" customFormat="false" ht="15" hidden="false" customHeight="false" outlineLevel="0" collapsed="false"/>
    <row r="1047844" customFormat="false" ht="15" hidden="false" customHeight="false" outlineLevel="0" collapsed="false"/>
    <row r="1047845" customFormat="false" ht="15" hidden="false" customHeight="false" outlineLevel="0" collapsed="false"/>
    <row r="1047846" customFormat="false" ht="15" hidden="false" customHeight="false" outlineLevel="0" collapsed="false"/>
    <row r="1047847" customFormat="false" ht="15" hidden="false" customHeight="false" outlineLevel="0" collapsed="false"/>
    <row r="1047848" customFormat="false" ht="15" hidden="false" customHeight="false" outlineLevel="0" collapsed="false"/>
    <row r="1047849" customFormat="false" ht="15" hidden="false" customHeight="false" outlineLevel="0" collapsed="false"/>
    <row r="1047850" customFormat="false" ht="15" hidden="false" customHeight="false" outlineLevel="0" collapsed="false"/>
    <row r="1047851" customFormat="false" ht="15" hidden="false" customHeight="false" outlineLevel="0" collapsed="false"/>
    <row r="1047852" customFormat="false" ht="15" hidden="false" customHeight="false" outlineLevel="0" collapsed="false"/>
    <row r="1047853" customFormat="false" ht="15" hidden="false" customHeight="false" outlineLevel="0" collapsed="false"/>
    <row r="1047854" customFormat="false" ht="15" hidden="false" customHeight="false" outlineLevel="0" collapsed="false"/>
    <row r="1047855" customFormat="false" ht="15" hidden="false" customHeight="false" outlineLevel="0" collapsed="false"/>
    <row r="1047856" customFormat="false" ht="15" hidden="false" customHeight="false" outlineLevel="0" collapsed="false"/>
    <row r="1047857" customFormat="false" ht="15" hidden="false" customHeight="false" outlineLevel="0" collapsed="false"/>
    <row r="1047858" customFormat="false" ht="15" hidden="false" customHeight="false" outlineLevel="0" collapsed="false"/>
    <row r="1047859" customFormat="false" ht="15" hidden="false" customHeight="false" outlineLevel="0" collapsed="false"/>
    <row r="1047860" customFormat="false" ht="15" hidden="false" customHeight="false" outlineLevel="0" collapsed="false"/>
    <row r="1047861" customFormat="false" ht="15" hidden="false" customHeight="false" outlineLevel="0" collapsed="false"/>
    <row r="1047862" customFormat="false" ht="15" hidden="false" customHeight="false" outlineLevel="0" collapsed="false"/>
    <row r="1047863" customFormat="false" ht="15" hidden="false" customHeight="false" outlineLevel="0" collapsed="false"/>
    <row r="1047864" customFormat="false" ht="15" hidden="false" customHeight="false" outlineLevel="0" collapsed="false"/>
    <row r="1047865" customFormat="false" ht="15" hidden="false" customHeight="false" outlineLevel="0" collapsed="false"/>
    <row r="1047866" customFormat="false" ht="15" hidden="false" customHeight="false" outlineLevel="0" collapsed="false"/>
    <row r="1047867" customFormat="false" ht="15" hidden="false" customHeight="false" outlineLevel="0" collapsed="false"/>
    <row r="1047868" customFormat="false" ht="15" hidden="false" customHeight="false" outlineLevel="0" collapsed="false"/>
    <row r="1047869" customFormat="false" ht="15" hidden="false" customHeight="false" outlineLevel="0" collapsed="false"/>
    <row r="1047870" customFormat="false" ht="15" hidden="false" customHeight="false" outlineLevel="0" collapsed="false"/>
    <row r="1047871" customFormat="false" ht="15" hidden="false" customHeight="false" outlineLevel="0" collapsed="false"/>
    <row r="1047872" customFormat="false" ht="15" hidden="false" customHeight="false" outlineLevel="0" collapsed="false"/>
    <row r="1047873" customFormat="false" ht="15" hidden="false" customHeight="false" outlineLevel="0" collapsed="false"/>
    <row r="1047874" customFormat="false" ht="15" hidden="false" customHeight="false" outlineLevel="0" collapsed="false"/>
    <row r="1047875" customFormat="false" ht="15" hidden="false" customHeight="false" outlineLevel="0" collapsed="false"/>
    <row r="1047876" customFormat="false" ht="15" hidden="false" customHeight="false" outlineLevel="0" collapsed="false"/>
    <row r="1047877" customFormat="false" ht="15" hidden="false" customHeight="false" outlineLevel="0" collapsed="false"/>
    <row r="1047878" customFormat="false" ht="15" hidden="false" customHeight="false" outlineLevel="0" collapsed="false"/>
    <row r="1047879" customFormat="false" ht="15" hidden="false" customHeight="false" outlineLevel="0" collapsed="false"/>
    <row r="1047880" customFormat="false" ht="15" hidden="false" customHeight="false" outlineLevel="0" collapsed="false"/>
    <row r="1047881" customFormat="false" ht="15" hidden="false" customHeight="false" outlineLevel="0" collapsed="false"/>
    <row r="1047882" customFormat="false" ht="15" hidden="false" customHeight="false" outlineLevel="0" collapsed="false"/>
    <row r="1047883" customFormat="false" ht="15" hidden="false" customHeight="false" outlineLevel="0" collapsed="false"/>
    <row r="1047884" customFormat="false" ht="15" hidden="false" customHeight="false" outlineLevel="0" collapsed="false"/>
    <row r="1047885" customFormat="false" ht="15" hidden="false" customHeight="false" outlineLevel="0" collapsed="false"/>
    <row r="1047886" customFormat="false" ht="15" hidden="false" customHeight="false" outlineLevel="0" collapsed="false"/>
    <row r="1047887" customFormat="false" ht="15" hidden="false" customHeight="false" outlineLevel="0" collapsed="false"/>
    <row r="1047888" customFormat="false" ht="15" hidden="false" customHeight="false" outlineLevel="0" collapsed="false"/>
    <row r="1047889" customFormat="false" ht="15" hidden="false" customHeight="false" outlineLevel="0" collapsed="false"/>
    <row r="1047890" customFormat="false" ht="15" hidden="false" customHeight="false" outlineLevel="0" collapsed="false"/>
    <row r="1047891" customFormat="false" ht="15" hidden="false" customHeight="false" outlineLevel="0" collapsed="false"/>
    <row r="1047892" customFormat="false" ht="15" hidden="false" customHeight="false" outlineLevel="0" collapsed="false"/>
    <row r="1047893" customFormat="false" ht="15" hidden="false" customHeight="false" outlineLevel="0" collapsed="false"/>
    <row r="1047894" customFormat="false" ht="15" hidden="false" customHeight="false" outlineLevel="0" collapsed="false"/>
    <row r="1047895" customFormat="false" ht="15" hidden="false" customHeight="false" outlineLevel="0" collapsed="false"/>
    <row r="1047896" customFormat="false" ht="15" hidden="false" customHeight="false" outlineLevel="0" collapsed="false"/>
    <row r="1047897" customFormat="false" ht="15" hidden="false" customHeight="false" outlineLevel="0" collapsed="false"/>
    <row r="1047898" customFormat="false" ht="15" hidden="false" customHeight="false" outlineLevel="0" collapsed="false"/>
    <row r="1047899" customFormat="false" ht="15" hidden="false" customHeight="false" outlineLevel="0" collapsed="false"/>
    <row r="1047900" customFormat="false" ht="15" hidden="false" customHeight="false" outlineLevel="0" collapsed="false"/>
    <row r="1047901" customFormat="false" ht="15" hidden="false" customHeight="false" outlineLevel="0" collapsed="false"/>
    <row r="1047902" customFormat="false" ht="15" hidden="false" customHeight="false" outlineLevel="0" collapsed="false"/>
    <row r="1047903" customFormat="false" ht="15" hidden="false" customHeight="false" outlineLevel="0" collapsed="false"/>
    <row r="1047904" customFormat="false" ht="15" hidden="false" customHeight="false" outlineLevel="0" collapsed="false"/>
    <row r="1047905" customFormat="false" ht="15" hidden="false" customHeight="false" outlineLevel="0" collapsed="false"/>
    <row r="1047906" customFormat="false" ht="15" hidden="false" customHeight="false" outlineLevel="0" collapsed="false"/>
    <row r="1047907" customFormat="false" ht="15" hidden="false" customHeight="false" outlineLevel="0" collapsed="false"/>
    <row r="1047908" customFormat="false" ht="15" hidden="false" customHeight="false" outlineLevel="0" collapsed="false"/>
    <row r="1047909" customFormat="false" ht="15" hidden="false" customHeight="false" outlineLevel="0" collapsed="false"/>
    <row r="1047910" customFormat="false" ht="15" hidden="false" customHeight="false" outlineLevel="0" collapsed="false"/>
    <row r="1047911" customFormat="false" ht="15" hidden="false" customHeight="false" outlineLevel="0" collapsed="false"/>
    <row r="1047912" customFormat="false" ht="15" hidden="false" customHeight="false" outlineLevel="0" collapsed="false"/>
    <row r="1047913" customFormat="false" ht="15" hidden="false" customHeight="false" outlineLevel="0" collapsed="false"/>
    <row r="1047914" customFormat="false" ht="15" hidden="false" customHeight="false" outlineLevel="0" collapsed="false"/>
    <row r="1047915" customFormat="false" ht="15" hidden="false" customHeight="false" outlineLevel="0" collapsed="false"/>
    <row r="1047916" customFormat="false" ht="15" hidden="false" customHeight="false" outlineLevel="0" collapsed="false"/>
    <row r="1047917" customFormat="false" ht="15" hidden="false" customHeight="false" outlineLevel="0" collapsed="false"/>
    <row r="1047918" customFormat="false" ht="15" hidden="false" customHeight="false" outlineLevel="0" collapsed="false"/>
    <row r="1047919" customFormat="false" ht="15" hidden="false" customHeight="false" outlineLevel="0" collapsed="false"/>
    <row r="1047920" customFormat="false" ht="15" hidden="false" customHeight="false" outlineLevel="0" collapsed="false"/>
    <row r="1047921" customFormat="false" ht="15" hidden="false" customHeight="false" outlineLevel="0" collapsed="false"/>
    <row r="1047922" customFormat="false" ht="15" hidden="false" customHeight="false" outlineLevel="0" collapsed="false"/>
    <row r="1047923" customFormat="false" ht="15" hidden="false" customHeight="false" outlineLevel="0" collapsed="false"/>
    <row r="1047924" customFormat="false" ht="15" hidden="false" customHeight="false" outlineLevel="0" collapsed="false"/>
    <row r="1047925" customFormat="false" ht="15" hidden="false" customHeight="false" outlineLevel="0" collapsed="false"/>
    <row r="1047926" customFormat="false" ht="15" hidden="false" customHeight="false" outlineLevel="0" collapsed="false"/>
    <row r="1047927" customFormat="false" ht="15" hidden="false" customHeight="false" outlineLevel="0" collapsed="false"/>
    <row r="1047928" customFormat="false" ht="15" hidden="false" customHeight="false" outlineLevel="0" collapsed="false"/>
    <row r="1047929" customFormat="false" ht="15" hidden="false" customHeight="false" outlineLevel="0" collapsed="false"/>
    <row r="1047930" customFormat="false" ht="15" hidden="false" customHeight="false" outlineLevel="0" collapsed="false"/>
    <row r="1047931" customFormat="false" ht="15" hidden="false" customHeight="false" outlineLevel="0" collapsed="false"/>
    <row r="1047932" customFormat="false" ht="15" hidden="false" customHeight="false" outlineLevel="0" collapsed="false"/>
    <row r="1047933" customFormat="false" ht="15" hidden="false" customHeight="false" outlineLevel="0" collapsed="false"/>
    <row r="1047934" customFormat="false" ht="15" hidden="false" customHeight="false" outlineLevel="0" collapsed="false"/>
    <row r="1047935" customFormat="false" ht="15" hidden="false" customHeight="false" outlineLevel="0" collapsed="false"/>
    <row r="1047936" customFormat="false" ht="15" hidden="false" customHeight="false" outlineLevel="0" collapsed="false"/>
    <row r="1047937" customFormat="false" ht="15" hidden="false" customHeight="false" outlineLevel="0" collapsed="false"/>
    <row r="1047938" customFormat="false" ht="15" hidden="false" customHeight="false" outlineLevel="0" collapsed="false"/>
    <row r="1047939" customFormat="false" ht="15" hidden="false" customHeight="false" outlineLevel="0" collapsed="false"/>
    <row r="1047940" customFormat="false" ht="15" hidden="false" customHeight="false" outlineLevel="0" collapsed="false"/>
    <row r="1047941" customFormat="false" ht="15" hidden="false" customHeight="false" outlineLevel="0" collapsed="false"/>
    <row r="1047942" customFormat="false" ht="15" hidden="false" customHeight="false" outlineLevel="0" collapsed="false"/>
    <row r="1047943" customFormat="false" ht="15" hidden="false" customHeight="false" outlineLevel="0" collapsed="false"/>
    <row r="1047944" customFormat="false" ht="15" hidden="false" customHeight="false" outlineLevel="0" collapsed="false"/>
    <row r="1047945" customFormat="false" ht="15" hidden="false" customHeight="false" outlineLevel="0" collapsed="false"/>
    <row r="1047946" customFormat="false" ht="15" hidden="false" customHeight="false" outlineLevel="0" collapsed="false"/>
    <row r="1047947" customFormat="false" ht="15" hidden="false" customHeight="false" outlineLevel="0" collapsed="false"/>
    <row r="1047948" customFormat="false" ht="15" hidden="false" customHeight="false" outlineLevel="0" collapsed="false"/>
    <row r="1047949" customFormat="false" ht="15" hidden="false" customHeight="false" outlineLevel="0" collapsed="false"/>
    <row r="1047950" customFormat="false" ht="15" hidden="false" customHeight="false" outlineLevel="0" collapsed="false"/>
    <row r="1047951" customFormat="false" ht="15" hidden="false" customHeight="false" outlineLevel="0" collapsed="false"/>
    <row r="1047952" customFormat="false" ht="15" hidden="false" customHeight="false" outlineLevel="0" collapsed="false"/>
    <row r="1047953" customFormat="false" ht="15" hidden="false" customHeight="false" outlineLevel="0" collapsed="false"/>
    <row r="1047954" customFormat="false" ht="15" hidden="false" customHeight="false" outlineLevel="0" collapsed="false"/>
    <row r="1047955" customFormat="false" ht="15" hidden="false" customHeight="false" outlineLevel="0" collapsed="false"/>
    <row r="1047956" customFormat="false" ht="15" hidden="false" customHeight="false" outlineLevel="0" collapsed="false"/>
    <row r="1047957" customFormat="false" ht="15" hidden="false" customHeight="false" outlineLevel="0" collapsed="false"/>
    <row r="1047958" customFormat="false" ht="15" hidden="false" customHeight="false" outlineLevel="0" collapsed="false"/>
    <row r="1047959" customFormat="false" ht="15" hidden="false" customHeight="false" outlineLevel="0" collapsed="false"/>
    <row r="1047960" customFormat="false" ht="15" hidden="false" customHeight="false" outlineLevel="0" collapsed="false"/>
    <row r="1047961" customFormat="false" ht="15" hidden="false" customHeight="false" outlineLevel="0" collapsed="false"/>
    <row r="1047962" customFormat="false" ht="15" hidden="false" customHeight="false" outlineLevel="0" collapsed="false"/>
    <row r="1047963" customFormat="false" ht="15" hidden="false" customHeight="false" outlineLevel="0" collapsed="false"/>
    <row r="1047964" customFormat="false" ht="15" hidden="false" customHeight="false" outlineLevel="0" collapsed="false"/>
    <row r="1047965" customFormat="false" ht="15" hidden="false" customHeight="false" outlineLevel="0" collapsed="false"/>
    <row r="1047966" customFormat="false" ht="15" hidden="false" customHeight="false" outlineLevel="0" collapsed="false"/>
    <row r="1047967" customFormat="false" ht="15" hidden="false" customHeight="false" outlineLevel="0" collapsed="false"/>
    <row r="1047968" customFormat="false" ht="15" hidden="false" customHeight="false" outlineLevel="0" collapsed="false"/>
    <row r="1047969" customFormat="false" ht="15" hidden="false" customHeight="false" outlineLevel="0" collapsed="false"/>
    <row r="1047970" customFormat="false" ht="15" hidden="false" customHeight="false" outlineLevel="0" collapsed="false"/>
    <row r="1047971" customFormat="false" ht="15" hidden="false" customHeight="false" outlineLevel="0" collapsed="false"/>
    <row r="1047972" customFormat="false" ht="15" hidden="false" customHeight="false" outlineLevel="0" collapsed="false"/>
    <row r="1047973" customFormat="false" ht="15" hidden="false" customHeight="false" outlineLevel="0" collapsed="false"/>
    <row r="1047974" customFormat="false" ht="15" hidden="false" customHeight="false" outlineLevel="0" collapsed="false"/>
    <row r="1047975" customFormat="false" ht="15" hidden="false" customHeight="false" outlineLevel="0" collapsed="false"/>
    <row r="1047976" customFormat="false" ht="15" hidden="false" customHeight="false" outlineLevel="0" collapsed="false"/>
    <row r="1047977" customFormat="false" ht="15" hidden="false" customHeight="false" outlineLevel="0" collapsed="false"/>
    <row r="1047978" customFormat="false" ht="15" hidden="false" customHeight="false" outlineLevel="0" collapsed="false"/>
    <row r="1047979" customFormat="false" ht="15" hidden="false" customHeight="false" outlineLevel="0" collapsed="false"/>
    <row r="1047980" customFormat="false" ht="15" hidden="false" customHeight="false" outlineLevel="0" collapsed="false"/>
    <row r="1047981" customFormat="false" ht="15" hidden="false" customHeight="false" outlineLevel="0" collapsed="false"/>
    <row r="1047982" customFormat="false" ht="15" hidden="false" customHeight="false" outlineLevel="0" collapsed="false"/>
    <row r="1047983" customFormat="false" ht="15" hidden="false" customHeight="false" outlineLevel="0" collapsed="false"/>
    <row r="1047984" customFormat="false" ht="15" hidden="false" customHeight="false" outlineLevel="0" collapsed="false"/>
    <row r="1047985" customFormat="false" ht="15" hidden="false" customHeight="false" outlineLevel="0" collapsed="false"/>
    <row r="1047986" customFormat="false" ht="15" hidden="false" customHeight="false" outlineLevel="0" collapsed="false"/>
    <row r="1047987" customFormat="false" ht="15" hidden="false" customHeight="false" outlineLevel="0" collapsed="false"/>
    <row r="1047988" customFormat="false" ht="15" hidden="false" customHeight="false" outlineLevel="0" collapsed="false"/>
    <row r="1047989" customFormat="false" ht="15" hidden="false" customHeight="false" outlineLevel="0" collapsed="false"/>
    <row r="1047990" customFormat="false" ht="15" hidden="false" customHeight="false" outlineLevel="0" collapsed="false"/>
    <row r="1047991" customFormat="false" ht="15" hidden="false" customHeight="false" outlineLevel="0" collapsed="false"/>
    <row r="1047992" customFormat="false" ht="15" hidden="false" customHeight="false" outlineLevel="0" collapsed="false"/>
    <row r="1047993" customFormat="false" ht="15" hidden="false" customHeight="false" outlineLevel="0" collapsed="false"/>
    <row r="1047994" customFormat="false" ht="15" hidden="false" customHeight="false" outlineLevel="0" collapsed="false"/>
    <row r="1047995" customFormat="false" ht="15" hidden="false" customHeight="false" outlineLevel="0" collapsed="false"/>
    <row r="1047996" customFormat="false" ht="15" hidden="false" customHeight="false" outlineLevel="0" collapsed="false"/>
    <row r="1047997" customFormat="false" ht="15" hidden="false" customHeight="false" outlineLevel="0" collapsed="false"/>
    <row r="1047998" customFormat="false" ht="15" hidden="false" customHeight="false" outlineLevel="0" collapsed="false"/>
    <row r="1047999" customFormat="false" ht="15" hidden="false" customHeight="false" outlineLevel="0" collapsed="false"/>
    <row r="1048000" customFormat="false" ht="15" hidden="false" customHeight="false" outlineLevel="0" collapsed="false"/>
    <row r="1048001" customFormat="false" ht="15" hidden="false" customHeight="false" outlineLevel="0" collapsed="false"/>
    <row r="1048002" customFormat="false" ht="15" hidden="false" customHeight="false" outlineLevel="0" collapsed="false"/>
    <row r="1048003" customFormat="false" ht="15" hidden="false" customHeight="false" outlineLevel="0" collapsed="false"/>
    <row r="1048004" customFormat="false" ht="15" hidden="false" customHeight="false" outlineLevel="0" collapsed="false"/>
    <row r="1048005" customFormat="false" ht="15" hidden="false" customHeight="false" outlineLevel="0" collapsed="false"/>
    <row r="1048006" customFormat="false" ht="15" hidden="false" customHeight="false" outlineLevel="0" collapsed="false"/>
    <row r="1048007" customFormat="false" ht="15" hidden="false" customHeight="false" outlineLevel="0" collapsed="false"/>
    <row r="1048008" customFormat="false" ht="15" hidden="false" customHeight="false" outlineLevel="0" collapsed="false"/>
    <row r="1048009" customFormat="false" ht="15" hidden="false" customHeight="false" outlineLevel="0" collapsed="false"/>
    <row r="1048010" customFormat="false" ht="15" hidden="false" customHeight="false" outlineLevel="0" collapsed="false"/>
    <row r="1048011" customFormat="false" ht="15" hidden="false" customHeight="false" outlineLevel="0" collapsed="false"/>
    <row r="1048012" customFormat="false" ht="15" hidden="false" customHeight="false" outlineLevel="0" collapsed="false"/>
    <row r="1048013" customFormat="false" ht="15" hidden="false" customHeight="false" outlineLevel="0" collapsed="false"/>
    <row r="1048014" customFormat="false" ht="15" hidden="false" customHeight="false" outlineLevel="0" collapsed="false"/>
    <row r="1048015" customFormat="false" ht="15" hidden="false" customHeight="false" outlineLevel="0" collapsed="false"/>
    <row r="1048016" customFormat="false" ht="15" hidden="false" customHeight="false" outlineLevel="0" collapsed="false"/>
    <row r="1048017" customFormat="false" ht="15" hidden="false" customHeight="false" outlineLevel="0" collapsed="false"/>
    <row r="1048018" customFormat="false" ht="15" hidden="false" customHeight="false" outlineLevel="0" collapsed="false"/>
    <row r="1048019" customFormat="false" ht="15" hidden="false" customHeight="false" outlineLevel="0" collapsed="false"/>
    <row r="1048020" customFormat="false" ht="15" hidden="false" customHeight="false" outlineLevel="0" collapsed="false"/>
    <row r="1048021" customFormat="false" ht="15" hidden="false" customHeight="false" outlineLevel="0" collapsed="false"/>
    <row r="1048022" customFormat="false" ht="15" hidden="false" customHeight="false" outlineLevel="0" collapsed="false"/>
    <row r="1048023" customFormat="false" ht="15" hidden="false" customHeight="false" outlineLevel="0" collapsed="false"/>
    <row r="1048024" customFormat="false" ht="15" hidden="false" customHeight="false" outlineLevel="0" collapsed="false"/>
    <row r="1048025" customFormat="false" ht="15" hidden="false" customHeight="false" outlineLevel="0" collapsed="false"/>
    <row r="1048026" customFormat="false" ht="15" hidden="false" customHeight="false" outlineLevel="0" collapsed="false"/>
    <row r="1048027" customFormat="false" ht="15" hidden="false" customHeight="false" outlineLevel="0" collapsed="false"/>
    <row r="1048028" customFormat="false" ht="15" hidden="false" customHeight="false" outlineLevel="0" collapsed="false"/>
    <row r="1048029" customFormat="false" ht="15" hidden="false" customHeight="false" outlineLevel="0" collapsed="false"/>
    <row r="1048030" customFormat="false" ht="15" hidden="false" customHeight="false" outlineLevel="0" collapsed="false"/>
    <row r="1048031" customFormat="false" ht="15" hidden="false" customHeight="false" outlineLevel="0" collapsed="false"/>
    <row r="1048032" customFormat="false" ht="15" hidden="false" customHeight="false" outlineLevel="0" collapsed="false"/>
    <row r="1048033" customFormat="false" ht="15" hidden="false" customHeight="false" outlineLevel="0" collapsed="false"/>
    <row r="1048034" customFormat="false" ht="15" hidden="false" customHeight="false" outlineLevel="0" collapsed="false"/>
    <row r="1048035" customFormat="false" ht="15" hidden="false" customHeight="false" outlineLevel="0" collapsed="false"/>
    <row r="1048036" customFormat="false" ht="15" hidden="false" customHeight="false" outlineLevel="0" collapsed="false"/>
    <row r="1048037" customFormat="false" ht="15" hidden="false" customHeight="false" outlineLevel="0" collapsed="false"/>
    <row r="1048038" customFormat="false" ht="15" hidden="false" customHeight="false" outlineLevel="0" collapsed="false"/>
    <row r="1048039" customFormat="false" ht="15" hidden="false" customHeight="false" outlineLevel="0" collapsed="false"/>
    <row r="1048040" customFormat="false" ht="15" hidden="false" customHeight="false" outlineLevel="0" collapsed="false"/>
    <row r="1048041" customFormat="false" ht="15" hidden="false" customHeight="false" outlineLevel="0" collapsed="false"/>
    <row r="1048042" customFormat="false" ht="15" hidden="false" customHeight="false" outlineLevel="0" collapsed="false"/>
    <row r="1048043" customFormat="false" ht="15" hidden="false" customHeight="false" outlineLevel="0" collapsed="false"/>
    <row r="1048044" customFormat="false" ht="15" hidden="false" customHeight="false" outlineLevel="0" collapsed="false"/>
    <row r="1048045" customFormat="false" ht="15" hidden="false" customHeight="false" outlineLevel="0" collapsed="false"/>
    <row r="1048046" customFormat="false" ht="15" hidden="false" customHeight="false" outlineLevel="0" collapsed="false"/>
    <row r="1048047" customFormat="false" ht="15" hidden="false" customHeight="false" outlineLevel="0" collapsed="false"/>
    <row r="1048048" customFormat="false" ht="15" hidden="false" customHeight="false" outlineLevel="0" collapsed="false"/>
    <row r="1048049" customFormat="false" ht="15" hidden="false" customHeight="false" outlineLevel="0" collapsed="false"/>
    <row r="1048050" customFormat="false" ht="15" hidden="false" customHeight="false" outlineLevel="0" collapsed="false"/>
    <row r="1048051" customFormat="false" ht="15" hidden="false" customHeight="false" outlineLevel="0" collapsed="false"/>
    <row r="1048052" customFormat="false" ht="15" hidden="false" customHeight="false" outlineLevel="0" collapsed="false"/>
    <row r="1048053" customFormat="false" ht="15" hidden="false" customHeight="false" outlineLevel="0" collapsed="false"/>
    <row r="1048054" customFormat="false" ht="15" hidden="false" customHeight="false" outlineLevel="0" collapsed="false"/>
    <row r="1048055" customFormat="false" ht="15" hidden="false" customHeight="false" outlineLevel="0" collapsed="false"/>
    <row r="1048056" customFormat="false" ht="15" hidden="false" customHeight="false" outlineLevel="0" collapsed="false"/>
    <row r="1048057" customFormat="false" ht="15" hidden="false" customHeight="false" outlineLevel="0" collapsed="false"/>
    <row r="1048058" customFormat="false" ht="15" hidden="false" customHeight="false" outlineLevel="0" collapsed="false"/>
    <row r="1048059" customFormat="false" ht="15" hidden="false" customHeight="false" outlineLevel="0" collapsed="false"/>
    <row r="1048060" customFormat="false" ht="15" hidden="false" customHeight="false" outlineLevel="0" collapsed="false"/>
    <row r="1048061" customFormat="false" ht="15" hidden="false" customHeight="false" outlineLevel="0" collapsed="false"/>
    <row r="1048062" customFormat="false" ht="15" hidden="false" customHeight="false" outlineLevel="0" collapsed="false"/>
    <row r="1048063" customFormat="false" ht="15" hidden="false" customHeight="false" outlineLevel="0" collapsed="false"/>
    <row r="1048064" customFormat="false" ht="15" hidden="false" customHeight="false" outlineLevel="0" collapsed="false"/>
    <row r="1048065" customFormat="false" ht="15" hidden="false" customHeight="false" outlineLevel="0" collapsed="false"/>
    <row r="1048066" customFormat="false" ht="15" hidden="false" customHeight="false" outlineLevel="0" collapsed="false"/>
    <row r="1048067" customFormat="false" ht="15" hidden="false" customHeight="false" outlineLevel="0" collapsed="false"/>
    <row r="1048068" customFormat="false" ht="15" hidden="false" customHeight="false" outlineLevel="0" collapsed="false"/>
    <row r="1048069" customFormat="false" ht="15" hidden="false" customHeight="false" outlineLevel="0" collapsed="false"/>
    <row r="1048070" customFormat="false" ht="15" hidden="false" customHeight="false" outlineLevel="0" collapsed="false"/>
    <row r="1048071" customFormat="false" ht="15" hidden="false" customHeight="false" outlineLevel="0" collapsed="false"/>
    <row r="1048072" customFormat="false" ht="15" hidden="false" customHeight="false" outlineLevel="0" collapsed="false"/>
    <row r="1048073" customFormat="false" ht="15" hidden="false" customHeight="false" outlineLevel="0" collapsed="false"/>
    <row r="1048074" customFormat="false" ht="15" hidden="false" customHeight="false" outlineLevel="0" collapsed="false"/>
    <row r="1048075" customFormat="false" ht="15" hidden="false" customHeight="false" outlineLevel="0" collapsed="false"/>
    <row r="1048076" customFormat="false" ht="15" hidden="false" customHeight="false" outlineLevel="0" collapsed="false"/>
    <row r="1048077" customFormat="false" ht="15" hidden="false" customHeight="false" outlineLevel="0" collapsed="false"/>
    <row r="1048078" customFormat="false" ht="15" hidden="false" customHeight="false" outlineLevel="0" collapsed="false"/>
    <row r="1048079" customFormat="false" ht="15" hidden="false" customHeight="false" outlineLevel="0" collapsed="false"/>
    <row r="1048080" customFormat="false" ht="15" hidden="false" customHeight="false" outlineLevel="0" collapsed="false"/>
    <row r="1048081" customFormat="false" ht="15" hidden="false" customHeight="false" outlineLevel="0" collapsed="false"/>
    <row r="1048082" customFormat="false" ht="15" hidden="false" customHeight="false" outlineLevel="0" collapsed="false"/>
    <row r="1048083" customFormat="false" ht="15" hidden="false" customHeight="false" outlineLevel="0" collapsed="false"/>
    <row r="1048084" customFormat="false" ht="15" hidden="false" customHeight="false" outlineLevel="0" collapsed="false"/>
    <row r="1048085" customFormat="false" ht="15" hidden="false" customHeight="false" outlineLevel="0" collapsed="false"/>
    <row r="1048086" customFormat="false" ht="15" hidden="false" customHeight="false" outlineLevel="0" collapsed="false"/>
    <row r="1048087" customFormat="false" ht="15" hidden="false" customHeight="false" outlineLevel="0" collapsed="false"/>
    <row r="1048088" customFormat="false" ht="15" hidden="false" customHeight="false" outlineLevel="0" collapsed="false"/>
    <row r="1048089" customFormat="false" ht="15" hidden="false" customHeight="false" outlineLevel="0" collapsed="false"/>
    <row r="1048090" customFormat="false" ht="15" hidden="false" customHeight="false" outlineLevel="0" collapsed="false"/>
    <row r="1048091" customFormat="false" ht="15" hidden="false" customHeight="false" outlineLevel="0" collapsed="false"/>
    <row r="1048092" customFormat="false" ht="15" hidden="false" customHeight="false" outlineLevel="0" collapsed="false"/>
    <row r="1048093" customFormat="false" ht="15" hidden="false" customHeight="false" outlineLevel="0" collapsed="false"/>
    <row r="1048094" customFormat="false" ht="15" hidden="false" customHeight="false" outlineLevel="0" collapsed="false"/>
    <row r="1048095" customFormat="false" ht="15" hidden="false" customHeight="false" outlineLevel="0" collapsed="false"/>
    <row r="1048096" customFormat="false" ht="15" hidden="false" customHeight="false" outlineLevel="0" collapsed="false"/>
    <row r="1048097" customFormat="false" ht="15" hidden="false" customHeight="false" outlineLevel="0" collapsed="false"/>
    <row r="1048098" customFormat="false" ht="15" hidden="false" customHeight="false" outlineLevel="0" collapsed="false"/>
    <row r="1048099" customFormat="false" ht="15" hidden="false" customHeight="false" outlineLevel="0" collapsed="false"/>
    <row r="1048100" customFormat="false" ht="15" hidden="false" customHeight="false" outlineLevel="0" collapsed="false"/>
    <row r="1048101" customFormat="false" ht="15" hidden="false" customHeight="false" outlineLevel="0" collapsed="false"/>
    <row r="1048102" customFormat="false" ht="15" hidden="false" customHeight="false" outlineLevel="0" collapsed="false"/>
    <row r="1048103" customFormat="false" ht="15" hidden="false" customHeight="false" outlineLevel="0" collapsed="false"/>
    <row r="1048104" customFormat="false" ht="15" hidden="false" customHeight="false" outlineLevel="0" collapsed="false"/>
    <row r="1048105" customFormat="false" ht="15" hidden="false" customHeight="false" outlineLevel="0" collapsed="false"/>
    <row r="1048106" customFormat="false" ht="15" hidden="false" customHeight="false" outlineLevel="0" collapsed="false"/>
    <row r="1048107" customFormat="false" ht="15" hidden="false" customHeight="false" outlineLevel="0" collapsed="false"/>
    <row r="1048108" customFormat="false" ht="15" hidden="false" customHeight="false" outlineLevel="0" collapsed="false"/>
    <row r="1048109" customFormat="false" ht="15" hidden="false" customHeight="false" outlineLevel="0" collapsed="false"/>
    <row r="1048110" customFormat="false" ht="15" hidden="false" customHeight="false" outlineLevel="0" collapsed="false"/>
    <row r="1048111" customFormat="false" ht="15" hidden="false" customHeight="false" outlineLevel="0" collapsed="false"/>
    <row r="1048112" customFormat="false" ht="15" hidden="false" customHeight="false" outlineLevel="0" collapsed="false"/>
    <row r="1048113" customFormat="false" ht="15" hidden="false" customHeight="false" outlineLevel="0" collapsed="false"/>
    <row r="1048114" customFormat="false" ht="15" hidden="false" customHeight="false" outlineLevel="0" collapsed="false"/>
    <row r="1048115" customFormat="false" ht="15" hidden="false" customHeight="false" outlineLevel="0" collapsed="false"/>
    <row r="1048116" customFormat="false" ht="15" hidden="false" customHeight="false" outlineLevel="0" collapsed="false"/>
    <row r="1048117" customFormat="false" ht="15" hidden="false" customHeight="false" outlineLevel="0" collapsed="false"/>
    <row r="1048118" customFormat="false" ht="15" hidden="false" customHeight="false" outlineLevel="0" collapsed="false"/>
    <row r="1048119" customFormat="false" ht="15" hidden="false" customHeight="false" outlineLevel="0" collapsed="false"/>
    <row r="1048120" customFormat="false" ht="15" hidden="false" customHeight="false" outlineLevel="0" collapsed="false"/>
    <row r="1048121" customFormat="false" ht="15" hidden="false" customHeight="false" outlineLevel="0" collapsed="false"/>
    <row r="1048122" customFormat="false" ht="15" hidden="false" customHeight="false" outlineLevel="0" collapsed="false"/>
    <row r="1048123" customFormat="false" ht="15" hidden="false" customHeight="false" outlineLevel="0" collapsed="false"/>
    <row r="1048124" customFormat="false" ht="15" hidden="false" customHeight="false" outlineLevel="0" collapsed="false"/>
    <row r="1048125" customFormat="false" ht="15" hidden="false" customHeight="false" outlineLevel="0" collapsed="false"/>
    <row r="1048126" customFormat="false" ht="15" hidden="false" customHeight="false" outlineLevel="0" collapsed="false"/>
    <row r="1048127" customFormat="false" ht="15" hidden="false" customHeight="false" outlineLevel="0" collapsed="false"/>
    <row r="1048128" customFormat="false" ht="15" hidden="false" customHeight="false" outlineLevel="0" collapsed="false"/>
    <row r="1048129" customFormat="false" ht="15" hidden="false" customHeight="false" outlineLevel="0" collapsed="false"/>
    <row r="1048130" customFormat="false" ht="15" hidden="false" customHeight="false" outlineLevel="0" collapsed="false"/>
    <row r="1048131" customFormat="false" ht="15" hidden="false" customHeight="false" outlineLevel="0" collapsed="false"/>
    <row r="1048132" customFormat="false" ht="15" hidden="false" customHeight="false" outlineLevel="0" collapsed="false"/>
    <row r="1048133" customFormat="false" ht="15" hidden="false" customHeight="false" outlineLevel="0" collapsed="false"/>
    <row r="1048134" customFormat="false" ht="15" hidden="false" customHeight="false" outlineLevel="0" collapsed="false"/>
    <row r="1048135" customFormat="false" ht="15" hidden="false" customHeight="false" outlineLevel="0" collapsed="false"/>
    <row r="1048136" customFormat="false" ht="15" hidden="false" customHeight="false" outlineLevel="0" collapsed="false"/>
    <row r="1048137" customFormat="false" ht="15" hidden="false" customHeight="false" outlineLevel="0" collapsed="false"/>
    <row r="1048138" customFormat="false" ht="15" hidden="false" customHeight="false" outlineLevel="0" collapsed="false"/>
    <row r="1048139" customFormat="false" ht="15" hidden="false" customHeight="false" outlineLevel="0" collapsed="false"/>
    <row r="1048140" customFormat="false" ht="15" hidden="false" customHeight="false" outlineLevel="0" collapsed="false"/>
    <row r="1048141" customFormat="false" ht="15" hidden="false" customHeight="false" outlineLevel="0" collapsed="false"/>
    <row r="1048142" customFormat="false" ht="15" hidden="false" customHeight="false" outlineLevel="0" collapsed="false"/>
    <row r="1048143" customFormat="false" ht="15" hidden="false" customHeight="false" outlineLevel="0" collapsed="false"/>
    <row r="1048144" customFormat="false" ht="15" hidden="false" customHeight="false" outlineLevel="0" collapsed="false"/>
    <row r="1048145" customFormat="false" ht="15" hidden="false" customHeight="false" outlineLevel="0" collapsed="false"/>
    <row r="1048146" customFormat="false" ht="15" hidden="false" customHeight="false" outlineLevel="0" collapsed="false"/>
    <row r="1048147" customFormat="false" ht="15" hidden="false" customHeight="false" outlineLevel="0" collapsed="false"/>
    <row r="1048148" customFormat="false" ht="15" hidden="false" customHeight="false" outlineLevel="0" collapsed="false"/>
    <row r="1048149" customFormat="false" ht="15" hidden="false" customHeight="false" outlineLevel="0" collapsed="false"/>
    <row r="1048150" customFormat="false" ht="15" hidden="false" customHeight="false" outlineLevel="0" collapsed="false"/>
    <row r="1048151" customFormat="false" ht="15" hidden="false" customHeight="false" outlineLevel="0" collapsed="false"/>
    <row r="1048152" customFormat="false" ht="15" hidden="false" customHeight="false" outlineLevel="0" collapsed="false"/>
    <row r="1048153" customFormat="false" ht="15" hidden="false" customHeight="false" outlineLevel="0" collapsed="false"/>
    <row r="1048154" customFormat="false" ht="15" hidden="false" customHeight="false" outlineLevel="0" collapsed="false"/>
    <row r="1048155" customFormat="false" ht="15" hidden="false" customHeight="false" outlineLevel="0" collapsed="false"/>
    <row r="1048156" customFormat="false" ht="15" hidden="false" customHeight="false" outlineLevel="0" collapsed="false"/>
    <row r="1048157" customFormat="false" ht="15" hidden="false" customHeight="false" outlineLevel="0" collapsed="false"/>
    <row r="1048158" customFormat="false" ht="15" hidden="false" customHeight="false" outlineLevel="0" collapsed="false"/>
    <row r="1048159" customFormat="false" ht="15" hidden="false" customHeight="false" outlineLevel="0" collapsed="false"/>
    <row r="1048160" customFormat="false" ht="15" hidden="false" customHeight="false" outlineLevel="0" collapsed="false"/>
    <row r="1048161" customFormat="false" ht="15" hidden="false" customHeight="false" outlineLevel="0" collapsed="false"/>
    <row r="1048162" customFormat="false" ht="15" hidden="false" customHeight="false" outlineLevel="0" collapsed="false"/>
    <row r="1048163" customFormat="false" ht="15" hidden="false" customHeight="false" outlineLevel="0" collapsed="false"/>
    <row r="1048164" customFormat="false" ht="15" hidden="false" customHeight="false" outlineLevel="0" collapsed="false"/>
    <row r="1048165" customFormat="false" ht="15" hidden="false" customHeight="false" outlineLevel="0" collapsed="false"/>
    <row r="1048166" customFormat="false" ht="15" hidden="false" customHeight="false" outlineLevel="0" collapsed="false"/>
    <row r="1048167" customFormat="false" ht="15" hidden="false" customHeight="false" outlineLevel="0" collapsed="false"/>
    <row r="1048168" customFormat="false" ht="15" hidden="false" customHeight="false" outlineLevel="0" collapsed="false"/>
    <row r="1048169" customFormat="false" ht="15" hidden="false" customHeight="false" outlineLevel="0" collapsed="false"/>
    <row r="1048170" customFormat="false" ht="15" hidden="false" customHeight="false" outlineLevel="0" collapsed="false"/>
    <row r="1048171" customFormat="false" ht="15" hidden="false" customHeight="false" outlineLevel="0" collapsed="false"/>
    <row r="1048172" customFormat="false" ht="15" hidden="false" customHeight="false" outlineLevel="0" collapsed="false"/>
    <row r="1048173" customFormat="false" ht="15" hidden="false" customHeight="false" outlineLevel="0" collapsed="false"/>
    <row r="1048174" customFormat="false" ht="15" hidden="false" customHeight="false" outlineLevel="0" collapsed="false"/>
    <row r="1048175" customFormat="false" ht="15" hidden="false" customHeight="false" outlineLevel="0" collapsed="false"/>
    <row r="1048176" customFormat="false" ht="15" hidden="false" customHeight="false" outlineLevel="0" collapsed="false"/>
    <row r="1048177" customFormat="false" ht="15" hidden="false" customHeight="false" outlineLevel="0" collapsed="false"/>
    <row r="1048178" customFormat="false" ht="15" hidden="false" customHeight="false" outlineLevel="0" collapsed="false"/>
    <row r="1048179" customFormat="false" ht="15" hidden="false" customHeight="false" outlineLevel="0" collapsed="false"/>
    <row r="1048180" customFormat="false" ht="15" hidden="false" customHeight="false" outlineLevel="0" collapsed="false"/>
    <row r="1048181" customFormat="false" ht="15" hidden="false" customHeight="false" outlineLevel="0" collapsed="false"/>
    <row r="1048182" customFormat="false" ht="15" hidden="false" customHeight="false" outlineLevel="0" collapsed="false"/>
    <row r="1048183" customFormat="false" ht="15" hidden="false" customHeight="false" outlineLevel="0" collapsed="false"/>
    <row r="1048184" customFormat="false" ht="15" hidden="false" customHeight="false" outlineLevel="0" collapsed="false"/>
    <row r="1048185" customFormat="false" ht="15" hidden="false" customHeight="false" outlineLevel="0" collapsed="false"/>
    <row r="1048186" customFormat="false" ht="15" hidden="false" customHeight="false" outlineLevel="0" collapsed="false"/>
    <row r="1048187" customFormat="false" ht="15" hidden="false" customHeight="false" outlineLevel="0" collapsed="false"/>
    <row r="1048188" customFormat="false" ht="15" hidden="false" customHeight="false" outlineLevel="0" collapsed="false"/>
    <row r="1048189" customFormat="false" ht="15" hidden="false" customHeight="false" outlineLevel="0" collapsed="false"/>
    <row r="1048190" customFormat="false" ht="15" hidden="false" customHeight="false" outlineLevel="0" collapsed="false"/>
    <row r="1048191" customFormat="false" ht="15" hidden="false" customHeight="false" outlineLevel="0" collapsed="false"/>
    <row r="1048192" customFormat="false" ht="15" hidden="false" customHeight="false" outlineLevel="0" collapsed="false"/>
    <row r="1048193" customFormat="false" ht="15" hidden="false" customHeight="false" outlineLevel="0" collapsed="false"/>
    <row r="1048194" customFormat="false" ht="15" hidden="false" customHeight="false" outlineLevel="0" collapsed="false"/>
    <row r="1048195" customFormat="false" ht="15" hidden="false" customHeight="false" outlineLevel="0" collapsed="false"/>
    <row r="1048196" customFormat="false" ht="15" hidden="false" customHeight="false" outlineLevel="0" collapsed="false"/>
    <row r="1048197" customFormat="false" ht="15" hidden="false" customHeight="false" outlineLevel="0" collapsed="false"/>
    <row r="1048198" customFormat="false" ht="15" hidden="false" customHeight="false" outlineLevel="0" collapsed="false"/>
    <row r="1048199" customFormat="false" ht="15" hidden="false" customHeight="false" outlineLevel="0" collapsed="false"/>
    <row r="1048200" customFormat="false" ht="15" hidden="false" customHeight="false" outlineLevel="0" collapsed="false"/>
    <row r="1048201" customFormat="false" ht="15" hidden="false" customHeight="false" outlineLevel="0" collapsed="false"/>
    <row r="1048202" customFormat="false" ht="15" hidden="false" customHeight="false" outlineLevel="0" collapsed="false"/>
    <row r="1048203" customFormat="false" ht="15" hidden="false" customHeight="false" outlineLevel="0" collapsed="false"/>
    <row r="1048204" customFormat="false" ht="15" hidden="false" customHeight="false" outlineLevel="0" collapsed="false"/>
    <row r="1048205" customFormat="false" ht="15" hidden="false" customHeight="false" outlineLevel="0" collapsed="false"/>
    <row r="1048206" customFormat="false" ht="15" hidden="false" customHeight="false" outlineLevel="0" collapsed="false"/>
    <row r="1048207" customFormat="false" ht="15" hidden="false" customHeight="false" outlineLevel="0" collapsed="false"/>
    <row r="1048208" customFormat="false" ht="15" hidden="false" customHeight="false" outlineLevel="0" collapsed="false"/>
    <row r="1048209" customFormat="false" ht="15" hidden="false" customHeight="false" outlineLevel="0" collapsed="false"/>
    <row r="1048210" customFormat="false" ht="15" hidden="false" customHeight="false" outlineLevel="0" collapsed="false"/>
    <row r="1048211" customFormat="false" ht="15" hidden="false" customHeight="false" outlineLevel="0" collapsed="false"/>
    <row r="1048212" customFormat="false" ht="15" hidden="false" customHeight="false" outlineLevel="0" collapsed="false"/>
    <row r="1048213" customFormat="false" ht="15" hidden="false" customHeight="false" outlineLevel="0" collapsed="false"/>
    <row r="1048214" customFormat="false" ht="15" hidden="false" customHeight="false" outlineLevel="0" collapsed="false"/>
    <row r="1048215" customFormat="false" ht="15" hidden="false" customHeight="false" outlineLevel="0" collapsed="false"/>
    <row r="1048216" customFormat="false" ht="15" hidden="false" customHeight="false" outlineLevel="0" collapsed="false"/>
    <row r="1048217" customFormat="false" ht="15" hidden="false" customHeight="false" outlineLevel="0" collapsed="false"/>
    <row r="1048218" customFormat="false" ht="15" hidden="false" customHeight="false" outlineLevel="0" collapsed="false"/>
    <row r="1048219" customFormat="false" ht="15" hidden="false" customHeight="false" outlineLevel="0" collapsed="false"/>
    <row r="1048220" customFormat="false" ht="15" hidden="false" customHeight="false" outlineLevel="0" collapsed="false"/>
    <row r="1048221" customFormat="false" ht="15" hidden="false" customHeight="false" outlineLevel="0" collapsed="false"/>
    <row r="1048222" customFormat="false" ht="15" hidden="false" customHeight="false" outlineLevel="0" collapsed="false"/>
    <row r="1048223" customFormat="false" ht="15" hidden="false" customHeight="false" outlineLevel="0" collapsed="false"/>
    <row r="1048224" customFormat="false" ht="15" hidden="false" customHeight="false" outlineLevel="0" collapsed="false"/>
    <row r="1048225" customFormat="false" ht="15" hidden="false" customHeight="false" outlineLevel="0" collapsed="false"/>
    <row r="1048226" customFormat="false" ht="15" hidden="false" customHeight="false" outlineLevel="0" collapsed="false"/>
    <row r="1048227" customFormat="false" ht="15" hidden="false" customHeight="false" outlineLevel="0" collapsed="false"/>
    <row r="1048228" customFormat="false" ht="15" hidden="false" customHeight="false" outlineLevel="0" collapsed="false"/>
    <row r="1048229" customFormat="false" ht="15" hidden="false" customHeight="false" outlineLevel="0" collapsed="false"/>
    <row r="1048230" customFormat="false" ht="15" hidden="false" customHeight="false" outlineLevel="0" collapsed="false"/>
    <row r="1048231" customFormat="false" ht="15" hidden="false" customHeight="false" outlineLevel="0" collapsed="false"/>
    <row r="1048232" customFormat="false" ht="15" hidden="false" customHeight="false" outlineLevel="0" collapsed="false"/>
    <row r="1048233" customFormat="false" ht="15" hidden="false" customHeight="false" outlineLevel="0" collapsed="false"/>
    <row r="1048234" customFormat="false" ht="15" hidden="false" customHeight="false" outlineLevel="0" collapsed="false"/>
    <row r="1048235" customFormat="false" ht="15" hidden="false" customHeight="false" outlineLevel="0" collapsed="false"/>
    <row r="1048236" customFormat="false" ht="15" hidden="false" customHeight="false" outlineLevel="0" collapsed="false"/>
    <row r="1048237" customFormat="false" ht="15" hidden="false" customHeight="false" outlineLevel="0" collapsed="false"/>
    <row r="1048238" customFormat="false" ht="15" hidden="false" customHeight="false" outlineLevel="0" collapsed="false"/>
    <row r="1048239" customFormat="false" ht="15" hidden="false" customHeight="false" outlineLevel="0" collapsed="false"/>
    <row r="1048240" customFormat="false" ht="15" hidden="false" customHeight="false" outlineLevel="0" collapsed="false"/>
    <row r="1048241" customFormat="false" ht="15" hidden="false" customHeight="false" outlineLevel="0" collapsed="false"/>
    <row r="1048242" customFormat="false" ht="15" hidden="false" customHeight="false" outlineLevel="0" collapsed="false"/>
    <row r="1048243" customFormat="false" ht="15" hidden="false" customHeight="false" outlineLevel="0" collapsed="false"/>
    <row r="1048244" customFormat="false" ht="15" hidden="false" customHeight="false" outlineLevel="0" collapsed="false"/>
    <row r="1048245" customFormat="false" ht="15" hidden="false" customHeight="false" outlineLevel="0" collapsed="false"/>
    <row r="1048246" customFormat="false" ht="15" hidden="false" customHeight="false" outlineLevel="0" collapsed="false"/>
    <row r="1048247" customFormat="false" ht="15" hidden="false" customHeight="false" outlineLevel="0" collapsed="false"/>
    <row r="1048248" customFormat="false" ht="15" hidden="false" customHeight="false" outlineLevel="0" collapsed="false"/>
    <row r="1048249" customFormat="false" ht="15" hidden="false" customHeight="false" outlineLevel="0" collapsed="false"/>
    <row r="1048250" customFormat="false" ht="15" hidden="false" customHeight="false" outlineLevel="0" collapsed="false"/>
    <row r="1048251" customFormat="false" ht="15" hidden="false" customHeight="false" outlineLevel="0" collapsed="false"/>
    <row r="1048252" customFormat="false" ht="15" hidden="false" customHeight="false" outlineLevel="0" collapsed="false"/>
    <row r="1048253" customFormat="false" ht="15" hidden="false" customHeight="false" outlineLevel="0" collapsed="false"/>
    <row r="1048254" customFormat="false" ht="15" hidden="false" customHeight="false" outlineLevel="0" collapsed="false"/>
    <row r="1048255" customFormat="false" ht="15" hidden="false" customHeight="false" outlineLevel="0" collapsed="false"/>
    <row r="1048256" customFormat="false" ht="15" hidden="false" customHeight="false" outlineLevel="0" collapsed="false"/>
    <row r="1048257" customFormat="false" ht="15" hidden="false" customHeight="false" outlineLevel="0" collapsed="false"/>
    <row r="1048258" customFormat="false" ht="15" hidden="false" customHeight="false" outlineLevel="0" collapsed="false"/>
    <row r="1048259" customFormat="false" ht="15" hidden="false" customHeight="false" outlineLevel="0" collapsed="false"/>
    <row r="1048260" customFormat="false" ht="15" hidden="false" customHeight="false" outlineLevel="0" collapsed="false"/>
    <row r="1048261" customFormat="false" ht="15" hidden="false" customHeight="false" outlineLevel="0" collapsed="false"/>
    <row r="1048262" customFormat="false" ht="15" hidden="false" customHeight="false" outlineLevel="0" collapsed="false"/>
    <row r="1048263" customFormat="false" ht="15" hidden="false" customHeight="false" outlineLevel="0" collapsed="false"/>
    <row r="1048264" customFormat="false" ht="15" hidden="false" customHeight="false" outlineLevel="0" collapsed="false"/>
    <row r="1048265" customFormat="false" ht="15" hidden="false" customHeight="false" outlineLevel="0" collapsed="false"/>
    <row r="1048266" customFormat="false" ht="15" hidden="false" customHeight="false" outlineLevel="0" collapsed="false"/>
    <row r="1048267" customFormat="false" ht="15" hidden="false" customHeight="false" outlineLevel="0" collapsed="false"/>
    <row r="1048268" customFormat="false" ht="15" hidden="false" customHeight="false" outlineLevel="0" collapsed="false"/>
    <row r="1048269" customFormat="false" ht="15" hidden="false" customHeight="false" outlineLevel="0" collapsed="false"/>
    <row r="1048270" customFormat="false" ht="15" hidden="false" customHeight="false" outlineLevel="0" collapsed="false"/>
    <row r="1048271" customFormat="false" ht="15" hidden="false" customHeight="false" outlineLevel="0" collapsed="false"/>
    <row r="1048272" customFormat="false" ht="15" hidden="false" customHeight="false" outlineLevel="0" collapsed="false"/>
    <row r="1048273" customFormat="false" ht="15" hidden="false" customHeight="false" outlineLevel="0" collapsed="false"/>
    <row r="1048274" customFormat="false" ht="15" hidden="false" customHeight="false" outlineLevel="0" collapsed="false"/>
    <row r="1048275" customFormat="false" ht="15" hidden="false" customHeight="false" outlineLevel="0" collapsed="false"/>
    <row r="1048276" customFormat="false" ht="15" hidden="false" customHeight="false" outlineLevel="0" collapsed="false"/>
    <row r="1048277" customFormat="false" ht="15" hidden="false" customHeight="false" outlineLevel="0" collapsed="false"/>
    <row r="1048278" customFormat="false" ht="15" hidden="false" customHeight="false" outlineLevel="0" collapsed="false"/>
    <row r="1048279" customFormat="false" ht="15" hidden="false" customHeight="false" outlineLevel="0" collapsed="false"/>
    <row r="1048280" customFormat="false" ht="15" hidden="false" customHeight="false" outlineLevel="0" collapsed="false"/>
    <row r="1048281" customFormat="false" ht="15" hidden="false" customHeight="false" outlineLevel="0" collapsed="false"/>
    <row r="1048282" customFormat="false" ht="15" hidden="false" customHeight="false" outlineLevel="0" collapsed="false"/>
    <row r="1048283" customFormat="false" ht="15" hidden="false" customHeight="false" outlineLevel="0" collapsed="false"/>
    <row r="1048284" customFormat="false" ht="15" hidden="false" customHeight="false" outlineLevel="0" collapsed="false"/>
    <row r="1048285" customFormat="false" ht="15" hidden="false" customHeight="false" outlineLevel="0" collapsed="false"/>
    <row r="1048286" customFormat="false" ht="15" hidden="false" customHeight="false" outlineLevel="0" collapsed="false"/>
    <row r="1048287" customFormat="false" ht="15" hidden="false" customHeight="false" outlineLevel="0" collapsed="false"/>
    <row r="1048288" customFormat="false" ht="15" hidden="false" customHeight="false" outlineLevel="0" collapsed="false"/>
    <row r="1048289" customFormat="false" ht="15" hidden="false" customHeight="false" outlineLevel="0" collapsed="false"/>
    <row r="1048290" customFormat="false" ht="15" hidden="false" customHeight="false" outlineLevel="0" collapsed="false"/>
    <row r="1048291" customFormat="false" ht="15" hidden="false" customHeight="false" outlineLevel="0" collapsed="false"/>
    <row r="1048292" customFormat="false" ht="15" hidden="false" customHeight="false" outlineLevel="0" collapsed="false"/>
    <row r="1048293" customFormat="false" ht="15" hidden="false" customHeight="false" outlineLevel="0" collapsed="false"/>
    <row r="1048294" customFormat="false" ht="15" hidden="false" customHeight="false" outlineLevel="0" collapsed="false"/>
    <row r="1048295" customFormat="false" ht="15" hidden="false" customHeight="false" outlineLevel="0" collapsed="false"/>
    <row r="1048296" customFormat="false" ht="15" hidden="false" customHeight="false" outlineLevel="0" collapsed="false"/>
    <row r="1048297" customFormat="false" ht="15" hidden="false" customHeight="false" outlineLevel="0" collapsed="false"/>
    <row r="1048298" customFormat="false" ht="15" hidden="false" customHeight="false" outlineLevel="0" collapsed="false"/>
    <row r="1048299" customFormat="false" ht="15" hidden="false" customHeight="false" outlineLevel="0" collapsed="false"/>
    <row r="1048300" customFormat="false" ht="15" hidden="false" customHeight="false" outlineLevel="0" collapsed="false"/>
    <row r="1048301" customFormat="false" ht="15" hidden="false" customHeight="false" outlineLevel="0" collapsed="false"/>
    <row r="1048302" customFormat="false" ht="15" hidden="false" customHeight="false" outlineLevel="0" collapsed="false"/>
    <row r="1048303" customFormat="false" ht="15" hidden="false" customHeight="false" outlineLevel="0" collapsed="false"/>
    <row r="1048304" customFormat="false" ht="15" hidden="false" customHeight="false" outlineLevel="0" collapsed="false"/>
    <row r="1048305" customFormat="false" ht="15" hidden="false" customHeight="false" outlineLevel="0" collapsed="false"/>
    <row r="1048306" customFormat="false" ht="15" hidden="false" customHeight="false" outlineLevel="0" collapsed="false"/>
    <row r="1048307" customFormat="false" ht="15" hidden="false" customHeight="false" outlineLevel="0" collapsed="false"/>
    <row r="1048308" customFormat="false" ht="15" hidden="false" customHeight="false" outlineLevel="0" collapsed="false"/>
    <row r="1048309" customFormat="false" ht="15" hidden="false" customHeight="false" outlineLevel="0" collapsed="false"/>
    <row r="1048310" customFormat="false" ht="15" hidden="false" customHeight="false" outlineLevel="0" collapsed="false"/>
    <row r="1048311" customFormat="false" ht="15" hidden="false" customHeight="false" outlineLevel="0" collapsed="false"/>
    <row r="1048312" customFormat="false" ht="15" hidden="false" customHeight="false" outlineLevel="0" collapsed="false"/>
    <row r="1048313" customFormat="false" ht="15" hidden="false" customHeight="false" outlineLevel="0" collapsed="false"/>
    <row r="1048314" customFormat="false" ht="15" hidden="false" customHeight="false" outlineLevel="0" collapsed="false"/>
    <row r="1048315" customFormat="false" ht="15" hidden="false" customHeight="false" outlineLevel="0" collapsed="false"/>
    <row r="1048316" customFormat="false" ht="15" hidden="false" customHeight="false" outlineLevel="0" collapsed="false"/>
    <row r="1048317" customFormat="false" ht="15" hidden="false" customHeight="false" outlineLevel="0" collapsed="false"/>
    <row r="1048318" customFormat="false" ht="15" hidden="false" customHeight="false" outlineLevel="0" collapsed="false"/>
    <row r="1048319" customFormat="false" ht="15" hidden="false" customHeight="false" outlineLevel="0" collapsed="false"/>
    <row r="1048320" customFormat="false" ht="15" hidden="false" customHeight="false" outlineLevel="0" collapsed="false"/>
    <row r="1048321" customFormat="false" ht="15" hidden="false" customHeight="false" outlineLevel="0" collapsed="false"/>
    <row r="1048322" customFormat="false" ht="15" hidden="false" customHeight="false" outlineLevel="0" collapsed="false"/>
    <row r="1048323" customFormat="false" ht="15" hidden="false" customHeight="false" outlineLevel="0" collapsed="false"/>
    <row r="1048324" customFormat="false" ht="15" hidden="false" customHeight="false" outlineLevel="0" collapsed="false"/>
    <row r="1048325" customFormat="false" ht="15" hidden="false" customHeight="false" outlineLevel="0" collapsed="false"/>
    <row r="1048326" customFormat="false" ht="15" hidden="false" customHeight="false" outlineLevel="0" collapsed="false"/>
    <row r="1048327" customFormat="false" ht="15" hidden="false" customHeight="false" outlineLevel="0" collapsed="false"/>
    <row r="1048328" customFormat="false" ht="15" hidden="false" customHeight="false" outlineLevel="0" collapsed="false"/>
    <row r="1048329" customFormat="false" ht="15" hidden="false" customHeight="false" outlineLevel="0" collapsed="false"/>
    <row r="1048330" customFormat="false" ht="15" hidden="false" customHeight="false" outlineLevel="0" collapsed="false"/>
    <row r="1048331" customFormat="false" ht="15" hidden="false" customHeight="false" outlineLevel="0" collapsed="false"/>
    <row r="1048332" customFormat="false" ht="15" hidden="false" customHeight="false" outlineLevel="0" collapsed="false"/>
    <row r="1048333" customFormat="false" ht="15" hidden="false" customHeight="false" outlineLevel="0" collapsed="false"/>
    <row r="1048334" customFormat="false" ht="15" hidden="false" customHeight="false" outlineLevel="0" collapsed="false"/>
    <row r="1048335" customFormat="false" ht="15" hidden="false" customHeight="false" outlineLevel="0" collapsed="false"/>
    <row r="1048336" customFormat="false" ht="15" hidden="false" customHeight="false" outlineLevel="0" collapsed="false"/>
    <row r="1048337" customFormat="false" ht="15" hidden="false" customHeight="false" outlineLevel="0" collapsed="false"/>
    <row r="1048338" customFormat="false" ht="15" hidden="false" customHeight="false" outlineLevel="0" collapsed="false"/>
    <row r="1048339" customFormat="false" ht="15" hidden="false" customHeight="false" outlineLevel="0" collapsed="false"/>
    <row r="1048340" customFormat="false" ht="15" hidden="false" customHeight="false" outlineLevel="0" collapsed="false"/>
    <row r="1048341" customFormat="false" ht="15" hidden="false" customHeight="false" outlineLevel="0" collapsed="false"/>
    <row r="1048342" customFormat="false" ht="15" hidden="false" customHeight="false" outlineLevel="0" collapsed="false"/>
    <row r="1048343" customFormat="false" ht="15" hidden="false" customHeight="false" outlineLevel="0" collapsed="false"/>
    <row r="1048344" customFormat="false" ht="15" hidden="false" customHeight="false" outlineLevel="0" collapsed="false"/>
    <row r="1048345" customFormat="false" ht="15" hidden="false" customHeight="false" outlineLevel="0" collapsed="false"/>
    <row r="1048346" customFormat="false" ht="15" hidden="false" customHeight="false" outlineLevel="0" collapsed="false"/>
    <row r="1048347" customFormat="false" ht="15" hidden="false" customHeight="false" outlineLevel="0" collapsed="false"/>
    <row r="1048348" customFormat="false" ht="15" hidden="false" customHeight="false" outlineLevel="0" collapsed="false"/>
    <row r="1048349" customFormat="false" ht="15" hidden="false" customHeight="false" outlineLevel="0" collapsed="false"/>
    <row r="1048350" customFormat="false" ht="15" hidden="false" customHeight="false" outlineLevel="0" collapsed="false"/>
    <row r="1048351" customFormat="false" ht="15" hidden="false" customHeight="false" outlineLevel="0" collapsed="false"/>
    <row r="1048352" customFormat="false" ht="15" hidden="false" customHeight="false" outlineLevel="0" collapsed="false"/>
    <row r="1048353" customFormat="false" ht="15" hidden="false" customHeight="false" outlineLevel="0" collapsed="false"/>
    <row r="1048354" customFormat="false" ht="15" hidden="false" customHeight="false" outlineLevel="0" collapsed="false"/>
    <row r="1048355" customFormat="false" ht="15" hidden="false" customHeight="false" outlineLevel="0" collapsed="false"/>
    <row r="1048356" customFormat="false" ht="15" hidden="false" customHeight="false" outlineLevel="0" collapsed="false"/>
    <row r="1048357" customFormat="false" ht="15" hidden="false" customHeight="false" outlineLevel="0" collapsed="false"/>
    <row r="1048358" customFormat="false" ht="15" hidden="false" customHeight="false" outlineLevel="0" collapsed="false"/>
    <row r="1048359" customFormat="false" ht="15" hidden="false" customHeight="false" outlineLevel="0" collapsed="false"/>
    <row r="1048360" customFormat="false" ht="15" hidden="false" customHeight="false" outlineLevel="0" collapsed="false"/>
    <row r="1048361" customFormat="false" ht="15" hidden="false" customHeight="false" outlineLevel="0" collapsed="false"/>
    <row r="1048362" customFormat="false" ht="15" hidden="false" customHeight="false" outlineLevel="0" collapsed="false"/>
    <row r="1048363" customFormat="false" ht="15" hidden="false" customHeight="false" outlineLevel="0" collapsed="false"/>
    <row r="1048364" customFormat="false" ht="15" hidden="false" customHeight="false" outlineLevel="0" collapsed="false"/>
    <row r="1048365" customFormat="false" ht="15" hidden="false" customHeight="false" outlineLevel="0" collapsed="false"/>
    <row r="1048366" customFormat="false" ht="15" hidden="false" customHeight="false" outlineLevel="0" collapsed="false"/>
    <row r="1048367" customFormat="false" ht="15" hidden="false" customHeight="false" outlineLevel="0" collapsed="false"/>
    <row r="1048368" customFormat="false" ht="15" hidden="false" customHeight="false" outlineLevel="0" collapsed="false"/>
    <row r="1048369" customFormat="false" ht="15" hidden="false" customHeight="false" outlineLevel="0" collapsed="false"/>
    <row r="1048370" customFormat="false" ht="15" hidden="false" customHeight="false" outlineLevel="0" collapsed="false"/>
    <row r="1048371" customFormat="false" ht="15" hidden="false" customHeight="false" outlineLevel="0" collapsed="false"/>
    <row r="1048372" customFormat="false" ht="15" hidden="false" customHeight="false" outlineLevel="0" collapsed="false"/>
    <row r="1048373" customFormat="false" ht="15" hidden="false" customHeight="false" outlineLevel="0" collapsed="false"/>
    <row r="1048374" customFormat="false" ht="15" hidden="false" customHeight="false" outlineLevel="0" collapsed="false"/>
    <row r="1048375" customFormat="false" ht="15" hidden="false" customHeight="false" outlineLevel="0" collapsed="false"/>
    <row r="1048376" customFormat="false" ht="15" hidden="false" customHeight="false" outlineLevel="0" collapsed="false"/>
    <row r="1048377" customFormat="false" ht="15" hidden="false" customHeight="false" outlineLevel="0" collapsed="false"/>
    <row r="1048378" customFormat="false" ht="15" hidden="false" customHeight="false" outlineLevel="0" collapsed="false"/>
    <row r="1048379" customFormat="false" ht="15" hidden="false" customHeight="false" outlineLevel="0" collapsed="false"/>
    <row r="1048380" customFormat="false" ht="15" hidden="false" customHeight="false" outlineLevel="0" collapsed="false"/>
    <row r="1048381" customFormat="false" ht="15" hidden="false" customHeight="false" outlineLevel="0" collapsed="false"/>
    <row r="1048382" customFormat="false" ht="15" hidden="false" customHeight="false" outlineLevel="0" collapsed="false"/>
    <row r="1048383" customFormat="false" ht="15" hidden="false" customHeight="false" outlineLevel="0" collapsed="false"/>
    <row r="1048384" customFormat="false" ht="15" hidden="false" customHeight="false" outlineLevel="0" collapsed="false"/>
    <row r="1048385" customFormat="false" ht="15" hidden="false" customHeight="false" outlineLevel="0" collapsed="false"/>
    <row r="1048386" customFormat="false" ht="15" hidden="false" customHeight="false" outlineLevel="0" collapsed="false"/>
    <row r="1048387" customFormat="false" ht="15" hidden="false" customHeight="false" outlineLevel="0" collapsed="false"/>
    <row r="1048388" customFormat="false" ht="15" hidden="false" customHeight="false" outlineLevel="0" collapsed="false"/>
    <row r="1048389" customFormat="false" ht="15" hidden="false" customHeight="false" outlineLevel="0" collapsed="false"/>
    <row r="1048390" customFormat="false" ht="15" hidden="false" customHeight="false" outlineLevel="0" collapsed="false"/>
    <row r="1048391" customFormat="false" ht="15" hidden="false" customHeight="false" outlineLevel="0" collapsed="false"/>
    <row r="1048392" customFormat="false" ht="15" hidden="false" customHeight="false" outlineLevel="0" collapsed="false"/>
    <row r="1048393" customFormat="false" ht="15" hidden="false" customHeight="false" outlineLevel="0" collapsed="false"/>
    <row r="1048394" customFormat="false" ht="15" hidden="false" customHeight="false" outlineLevel="0" collapsed="false"/>
    <row r="1048395" customFormat="false" ht="15" hidden="false" customHeight="false" outlineLevel="0" collapsed="false"/>
    <row r="1048396" customFormat="false" ht="15" hidden="false" customHeight="false" outlineLevel="0" collapsed="false"/>
    <row r="1048397" customFormat="false" ht="15" hidden="false" customHeight="false" outlineLevel="0" collapsed="false"/>
    <row r="1048398" customFormat="false" ht="15" hidden="false" customHeight="false" outlineLevel="0" collapsed="false"/>
    <row r="1048399" customFormat="false" ht="15" hidden="false" customHeight="false" outlineLevel="0" collapsed="false"/>
    <row r="1048400" customFormat="false" ht="15" hidden="false" customHeight="false" outlineLevel="0" collapsed="false"/>
    <row r="1048401" customFormat="false" ht="15" hidden="false" customHeight="false" outlineLevel="0" collapsed="false"/>
    <row r="1048402" customFormat="false" ht="15" hidden="false" customHeight="false" outlineLevel="0" collapsed="false"/>
    <row r="1048403" customFormat="false" ht="15" hidden="false" customHeight="false" outlineLevel="0" collapsed="false"/>
    <row r="1048404" customFormat="false" ht="15" hidden="false" customHeight="false" outlineLevel="0" collapsed="false"/>
    <row r="1048405" customFormat="false" ht="15" hidden="false" customHeight="false" outlineLevel="0" collapsed="false"/>
    <row r="1048406" customFormat="false" ht="15" hidden="false" customHeight="false" outlineLevel="0" collapsed="false"/>
    <row r="1048407" customFormat="false" ht="15" hidden="false" customHeight="false" outlineLevel="0" collapsed="false"/>
    <row r="1048408" customFormat="false" ht="15" hidden="false" customHeight="false" outlineLevel="0" collapsed="false"/>
    <row r="1048409" customFormat="false" ht="15" hidden="false" customHeight="false" outlineLevel="0" collapsed="false"/>
    <row r="1048410" customFormat="false" ht="15" hidden="false" customHeight="false" outlineLevel="0" collapsed="false"/>
    <row r="1048411" customFormat="false" ht="15" hidden="false" customHeight="false" outlineLevel="0" collapsed="false"/>
    <row r="1048412" customFormat="false" ht="15" hidden="false" customHeight="false" outlineLevel="0" collapsed="false"/>
    <row r="1048413" customFormat="false" ht="15" hidden="false" customHeight="false" outlineLevel="0" collapsed="false"/>
    <row r="1048414" customFormat="false" ht="15" hidden="false" customHeight="false" outlineLevel="0" collapsed="false"/>
    <row r="1048415" customFormat="false" ht="15" hidden="false" customHeight="false" outlineLevel="0" collapsed="false"/>
    <row r="1048416" customFormat="false" ht="15" hidden="false" customHeight="false" outlineLevel="0" collapsed="false"/>
    <row r="1048417" customFormat="false" ht="15" hidden="false" customHeight="false" outlineLevel="0" collapsed="false"/>
    <row r="1048418" customFormat="false" ht="15" hidden="false" customHeight="false" outlineLevel="0" collapsed="false"/>
    <row r="1048419" customFormat="false" ht="15" hidden="false" customHeight="false" outlineLevel="0" collapsed="false"/>
    <row r="1048420" customFormat="false" ht="15" hidden="false" customHeight="false" outlineLevel="0" collapsed="false"/>
    <row r="1048421" customFormat="false" ht="15" hidden="false" customHeight="false" outlineLevel="0" collapsed="false"/>
    <row r="1048422" customFormat="false" ht="15" hidden="false" customHeight="false" outlineLevel="0" collapsed="false"/>
    <row r="1048423" customFormat="false" ht="15" hidden="false" customHeight="false" outlineLevel="0" collapsed="false"/>
    <row r="1048424" customFormat="false" ht="15" hidden="false" customHeight="false" outlineLevel="0" collapsed="false"/>
    <row r="1048425" customFormat="false" ht="15" hidden="false" customHeight="false" outlineLevel="0" collapsed="false"/>
    <row r="1048426" customFormat="false" ht="15" hidden="false" customHeight="false" outlineLevel="0" collapsed="false"/>
    <row r="1048427" customFormat="false" ht="15" hidden="false" customHeight="false" outlineLevel="0" collapsed="false"/>
    <row r="1048428" customFormat="false" ht="15" hidden="false" customHeight="false" outlineLevel="0" collapsed="false"/>
    <row r="1048429" customFormat="false" ht="15" hidden="false" customHeight="false" outlineLevel="0" collapsed="false"/>
    <row r="1048430" customFormat="false" ht="15" hidden="false" customHeight="false" outlineLevel="0" collapsed="false"/>
    <row r="1048431" customFormat="false" ht="15" hidden="false" customHeight="false" outlineLevel="0" collapsed="false"/>
    <row r="1048432" customFormat="false" ht="15" hidden="false" customHeight="false" outlineLevel="0" collapsed="false"/>
    <row r="1048433" customFormat="false" ht="15" hidden="false" customHeight="false" outlineLevel="0" collapsed="false"/>
    <row r="1048434" customFormat="false" ht="15" hidden="false" customHeight="false" outlineLevel="0" collapsed="false"/>
    <row r="1048435" customFormat="false" ht="15" hidden="false" customHeight="false" outlineLevel="0" collapsed="false"/>
    <row r="1048436" customFormat="false" ht="15" hidden="false" customHeight="false" outlineLevel="0" collapsed="false"/>
    <row r="1048437" customFormat="false" ht="15" hidden="false" customHeight="false" outlineLevel="0" collapsed="false"/>
    <row r="1048438" customFormat="false" ht="15" hidden="false" customHeight="false" outlineLevel="0" collapsed="false"/>
    <row r="1048439" customFormat="false" ht="15" hidden="false" customHeight="false" outlineLevel="0" collapsed="false"/>
    <row r="1048440" customFormat="false" ht="15" hidden="false" customHeight="false" outlineLevel="0" collapsed="false"/>
    <row r="1048441" customFormat="false" ht="15" hidden="false" customHeight="false" outlineLevel="0" collapsed="false"/>
    <row r="1048442" customFormat="false" ht="15" hidden="false" customHeight="false" outlineLevel="0" collapsed="false"/>
    <row r="1048443" customFormat="false" ht="15" hidden="false" customHeight="false" outlineLevel="0" collapsed="false"/>
    <row r="1048444" customFormat="false" ht="15" hidden="false" customHeight="false" outlineLevel="0" collapsed="false"/>
    <row r="1048445" customFormat="false" ht="15" hidden="false" customHeight="false" outlineLevel="0" collapsed="false"/>
    <row r="1048446" customFormat="false" ht="15" hidden="false" customHeight="false" outlineLevel="0" collapsed="false"/>
    <row r="1048447" customFormat="false" ht="15" hidden="false" customHeight="false" outlineLevel="0" collapsed="false"/>
    <row r="1048448" customFormat="false" ht="15" hidden="false" customHeight="false" outlineLevel="0" collapsed="false"/>
    <row r="1048449" customFormat="false" ht="15" hidden="false" customHeight="false" outlineLevel="0" collapsed="false"/>
    <row r="1048450" customFormat="false" ht="15" hidden="false" customHeight="false" outlineLevel="0" collapsed="false"/>
    <row r="1048451" customFormat="false" ht="15" hidden="false" customHeight="false" outlineLevel="0" collapsed="false"/>
    <row r="1048452" customFormat="false" ht="15" hidden="false" customHeight="false" outlineLevel="0" collapsed="false"/>
    <row r="1048453" customFormat="false" ht="15" hidden="false" customHeight="false" outlineLevel="0" collapsed="false"/>
    <row r="1048454" customFormat="false" ht="15" hidden="false" customHeight="false" outlineLevel="0" collapsed="false"/>
    <row r="1048455" customFormat="false" ht="15" hidden="false" customHeight="false" outlineLevel="0" collapsed="false"/>
    <row r="1048456" customFormat="false" ht="15" hidden="false" customHeight="false" outlineLevel="0" collapsed="false"/>
    <row r="1048457" customFormat="false" ht="15" hidden="false" customHeight="false" outlineLevel="0" collapsed="false"/>
    <row r="1048458" customFormat="false" ht="15" hidden="false" customHeight="false" outlineLevel="0" collapsed="false"/>
    <row r="1048459" customFormat="false" ht="15" hidden="false" customHeight="false" outlineLevel="0" collapsed="false"/>
    <row r="1048460" customFormat="false" ht="15" hidden="false" customHeight="false" outlineLevel="0" collapsed="false"/>
    <row r="1048461" customFormat="false" ht="15" hidden="false" customHeight="false" outlineLevel="0" collapsed="false"/>
    <row r="1048462" customFormat="false" ht="15" hidden="false" customHeight="false" outlineLevel="0" collapsed="false"/>
    <row r="1048463" customFormat="false" ht="15" hidden="false" customHeight="false" outlineLevel="0" collapsed="false"/>
    <row r="1048464" customFormat="false" ht="15" hidden="false" customHeight="false" outlineLevel="0" collapsed="false"/>
    <row r="1048465" customFormat="false" ht="15" hidden="false" customHeight="false" outlineLevel="0" collapsed="false"/>
    <row r="1048466" customFormat="false" ht="15" hidden="false" customHeight="false" outlineLevel="0" collapsed="false"/>
    <row r="1048467" customFormat="false" ht="15" hidden="false" customHeight="false" outlineLevel="0" collapsed="false"/>
    <row r="1048468" customFormat="false" ht="15" hidden="false" customHeight="false" outlineLevel="0" collapsed="false"/>
    <row r="1048469" customFormat="false" ht="15" hidden="false" customHeight="false" outlineLevel="0" collapsed="false"/>
    <row r="1048470" customFormat="false" ht="15" hidden="false" customHeight="false" outlineLevel="0" collapsed="false"/>
    <row r="1048471" customFormat="false" ht="15" hidden="false" customHeight="false" outlineLevel="0" collapsed="false"/>
    <row r="1048472" customFormat="false" ht="15" hidden="false" customHeight="false" outlineLevel="0" collapsed="false"/>
    <row r="1048473" customFormat="false" ht="15" hidden="false" customHeight="false" outlineLevel="0" collapsed="false"/>
    <row r="1048474" customFormat="false" ht="15" hidden="false" customHeight="false" outlineLevel="0" collapsed="false"/>
    <row r="1048475" customFormat="false" ht="15" hidden="false" customHeight="false" outlineLevel="0" collapsed="false"/>
    <row r="1048476" customFormat="false" ht="15" hidden="false" customHeight="false" outlineLevel="0" collapsed="false"/>
    <row r="1048477" customFormat="false" ht="15" hidden="false" customHeight="false" outlineLevel="0" collapsed="false"/>
    <row r="1048478" customFormat="false" ht="15" hidden="false" customHeight="false" outlineLevel="0" collapsed="false"/>
    <row r="1048479" customFormat="false" ht="15" hidden="false" customHeight="false" outlineLevel="0" collapsed="false"/>
    <row r="1048480" customFormat="false" ht="15" hidden="false" customHeight="false" outlineLevel="0" collapsed="false"/>
    <row r="1048481" customFormat="false" ht="15" hidden="false" customHeight="false" outlineLevel="0" collapsed="false"/>
    <row r="1048482" customFormat="false" ht="15" hidden="false" customHeight="false" outlineLevel="0" collapsed="false"/>
    <row r="1048483" customFormat="false" ht="15" hidden="false" customHeight="false" outlineLevel="0" collapsed="false"/>
    <row r="1048484" customFormat="false" ht="15" hidden="false" customHeight="false" outlineLevel="0" collapsed="false"/>
    <row r="1048485" customFormat="false" ht="15" hidden="false" customHeight="false" outlineLevel="0" collapsed="false"/>
    <row r="1048486" customFormat="false" ht="15" hidden="false" customHeight="false" outlineLevel="0" collapsed="false"/>
    <row r="1048487" customFormat="false" ht="15" hidden="false" customHeight="false" outlineLevel="0" collapsed="false"/>
    <row r="1048488" customFormat="false" ht="15" hidden="false" customHeight="false" outlineLevel="0" collapsed="false"/>
    <row r="1048489" customFormat="false" ht="15" hidden="false" customHeight="false" outlineLevel="0" collapsed="false"/>
    <row r="1048490" customFormat="false" ht="15" hidden="false" customHeight="false" outlineLevel="0" collapsed="false"/>
    <row r="1048491" customFormat="false" ht="15" hidden="false" customHeight="false" outlineLevel="0" collapsed="false"/>
    <row r="1048492" customFormat="false" ht="15" hidden="false" customHeight="false" outlineLevel="0" collapsed="false"/>
    <row r="1048493" customFormat="false" ht="15" hidden="false" customHeight="false" outlineLevel="0" collapsed="false"/>
    <row r="1048494" customFormat="false" ht="15" hidden="false" customHeight="false" outlineLevel="0" collapsed="false"/>
    <row r="1048495" customFormat="false" ht="15" hidden="false" customHeight="false" outlineLevel="0" collapsed="false"/>
    <row r="1048496" customFormat="false" ht="15" hidden="false" customHeight="false" outlineLevel="0" collapsed="false"/>
    <row r="1048497" customFormat="false" ht="15" hidden="false" customHeight="false" outlineLevel="0" collapsed="false"/>
    <row r="1048498" customFormat="false" ht="15" hidden="false" customHeight="false" outlineLevel="0" collapsed="false"/>
    <row r="1048499" customFormat="false" ht="15" hidden="false" customHeight="false" outlineLevel="0" collapsed="false"/>
    <row r="1048500" customFormat="false" ht="15" hidden="false" customHeight="false" outlineLevel="0" collapsed="false"/>
    <row r="1048501" customFormat="false" ht="15" hidden="false" customHeight="false" outlineLevel="0" collapsed="false"/>
    <row r="1048502" customFormat="false" ht="15" hidden="false" customHeight="false" outlineLevel="0" collapsed="false"/>
    <row r="1048503" customFormat="false" ht="15" hidden="false" customHeight="false" outlineLevel="0" collapsed="false"/>
    <row r="1048504" customFormat="false" ht="15" hidden="false" customHeight="false" outlineLevel="0" collapsed="false"/>
    <row r="1048505" customFormat="false" ht="15" hidden="false" customHeight="false" outlineLevel="0" collapsed="false"/>
    <row r="1048506" customFormat="false" ht="15" hidden="false" customHeight="false" outlineLevel="0" collapsed="false"/>
    <row r="1048507" customFormat="false" ht="15" hidden="false" customHeight="false" outlineLevel="0" collapsed="false"/>
    <row r="1048508" customFormat="false" ht="15" hidden="false" customHeight="false" outlineLevel="0" collapsed="false"/>
    <row r="1048509" customFormat="false" ht="15" hidden="false" customHeight="false" outlineLevel="0" collapsed="false"/>
    <row r="1048510" customFormat="false" ht="15" hidden="false" customHeight="false" outlineLevel="0" collapsed="false"/>
    <row r="1048511" customFormat="false" ht="15" hidden="false" customHeight="false" outlineLevel="0" collapsed="false"/>
    <row r="1048512" customFormat="false" ht="15" hidden="false" customHeight="false" outlineLevel="0" collapsed="false"/>
    <row r="1048513" customFormat="false" ht="15" hidden="false" customHeight="false" outlineLevel="0" collapsed="false"/>
    <row r="1048514" customFormat="false" ht="15" hidden="false" customHeight="false" outlineLevel="0" collapsed="false"/>
    <row r="1048515" customFormat="false" ht="15" hidden="false" customHeight="false" outlineLevel="0" collapsed="false"/>
    <row r="1048516" customFormat="false" ht="15" hidden="false" customHeight="false" outlineLevel="0" collapsed="false"/>
    <row r="1048517" customFormat="false" ht="15" hidden="false" customHeight="false" outlineLevel="0" collapsed="false"/>
    <row r="1048518" customFormat="false" ht="15" hidden="false" customHeight="false" outlineLevel="0" collapsed="false"/>
    <row r="1048519" customFormat="false" ht="15" hidden="false" customHeight="false" outlineLevel="0" collapsed="false"/>
    <row r="1048520" customFormat="false" ht="15" hidden="false" customHeight="false" outlineLevel="0" collapsed="false"/>
    <row r="1048521" customFormat="false" ht="15" hidden="false" customHeight="false" outlineLevel="0" collapsed="false"/>
    <row r="1048522" customFormat="false" ht="15" hidden="false" customHeight="false" outlineLevel="0" collapsed="false"/>
    <row r="1048523" customFormat="false" ht="15" hidden="false" customHeight="false" outlineLevel="0" collapsed="false"/>
    <row r="1048524" customFormat="false" ht="15" hidden="false" customHeight="false" outlineLevel="0" collapsed="false"/>
    <row r="1048525" customFormat="false" ht="15" hidden="false" customHeight="false" outlineLevel="0" collapsed="false"/>
    <row r="1048526" customFormat="false" ht="15" hidden="false" customHeight="false" outlineLevel="0" collapsed="false"/>
    <row r="1048527" customFormat="false" ht="15" hidden="false" customHeight="false" outlineLevel="0" collapsed="false"/>
    <row r="1048528" customFormat="false" ht="15" hidden="false" customHeight="false" outlineLevel="0" collapsed="false"/>
    <row r="1048529" customFormat="false" ht="15" hidden="false" customHeight="false" outlineLevel="0" collapsed="false"/>
    <row r="1048530" customFormat="false" ht="15" hidden="false" customHeight="false" outlineLevel="0" collapsed="false"/>
    <row r="1048531" customFormat="false" ht="15" hidden="false" customHeight="false" outlineLevel="0" collapsed="false"/>
    <row r="1048532" customFormat="false" ht="15" hidden="false" customHeight="false" outlineLevel="0" collapsed="false"/>
    <row r="1048533" customFormat="false" ht="15" hidden="false" customHeight="false" outlineLevel="0" collapsed="false"/>
    <row r="1048534" customFormat="false" ht="15" hidden="false" customHeight="false" outlineLevel="0" collapsed="false"/>
    <row r="1048535" customFormat="false" ht="15" hidden="false" customHeight="false" outlineLevel="0" collapsed="false"/>
    <row r="1048536" customFormat="false" ht="15" hidden="false" customHeight="false" outlineLevel="0" collapsed="false"/>
    <row r="1048537" customFormat="false" ht="15" hidden="false" customHeight="false" outlineLevel="0" collapsed="false"/>
    <row r="1048538" customFormat="false" ht="15" hidden="false" customHeight="false" outlineLevel="0" collapsed="false"/>
    <row r="1048539" customFormat="false" ht="15" hidden="false" customHeight="false" outlineLevel="0" collapsed="false"/>
    <row r="1048540" customFormat="false" ht="15" hidden="false" customHeight="false" outlineLevel="0" collapsed="false"/>
    <row r="1048541" customFormat="false" ht="15" hidden="false" customHeight="false" outlineLevel="0" collapsed="false"/>
    <row r="1048542" customFormat="false" ht="15" hidden="false" customHeight="false" outlineLevel="0" collapsed="false"/>
    <row r="1048543" customFormat="false" ht="15" hidden="false" customHeight="false" outlineLevel="0" collapsed="false"/>
    <row r="1048544" customFormat="false" ht="15" hidden="false" customHeight="false" outlineLevel="0" collapsed="false"/>
    <row r="1048545" customFormat="false" ht="15" hidden="false" customHeight="false" outlineLevel="0" collapsed="false"/>
    <row r="1048546" customFormat="false" ht="15" hidden="false" customHeight="false" outlineLevel="0" collapsed="false"/>
    <row r="1048547" customFormat="false" ht="15" hidden="false" customHeight="false" outlineLevel="0" collapsed="false"/>
    <row r="1048548" customFormat="false" ht="15" hidden="false" customHeight="false" outlineLevel="0" collapsed="false"/>
    <row r="1048549" customFormat="false" ht="15" hidden="false" customHeight="false" outlineLevel="0" collapsed="false"/>
    <row r="1048550" customFormat="false" ht="15" hidden="false" customHeight="false" outlineLevel="0" collapsed="false"/>
    <row r="1048551" customFormat="false" ht="15" hidden="false" customHeight="false" outlineLevel="0" collapsed="false"/>
    <row r="1048552" customFormat="false" ht="15" hidden="false" customHeight="false" outlineLevel="0" collapsed="false"/>
    <row r="1048553" customFormat="false" ht="15" hidden="false" customHeight="false" outlineLevel="0" collapsed="false"/>
    <row r="1048554" customFormat="false" ht="15" hidden="false" customHeight="false" outlineLevel="0" collapsed="false"/>
    <row r="1048555" customFormat="false" ht="15" hidden="false" customHeight="false" outlineLevel="0" collapsed="false"/>
    <row r="1048556" customFormat="false" ht="15" hidden="false" customHeight="false" outlineLevel="0" collapsed="false"/>
    <row r="1048557" customFormat="false" ht="15" hidden="false" customHeight="false" outlineLevel="0" collapsed="false"/>
    <row r="1048558" customFormat="false" ht="15" hidden="false" customHeight="false" outlineLevel="0" collapsed="false"/>
    <row r="1048559" customFormat="false" ht="15" hidden="false" customHeight="false" outlineLevel="0" collapsed="false"/>
    <row r="1048560" customFormat="false" ht="15" hidden="false" customHeight="false" outlineLevel="0" collapsed="false"/>
    <row r="1048561" customFormat="false" ht="15" hidden="false" customHeight="false" outlineLevel="0" collapsed="false"/>
    <row r="1048562" customFormat="false" ht="15" hidden="false" customHeight="false" outlineLevel="0" collapsed="false"/>
    <row r="1048563" customFormat="false" ht="15" hidden="false" customHeight="false" outlineLevel="0" collapsed="false"/>
    <row r="1048564" customFormat="false" ht="15" hidden="false" customHeight="false" outlineLevel="0" collapsed="false"/>
    <row r="1048565" customFormat="false" ht="15" hidden="false" customHeight="false" outlineLevel="0" collapsed="false"/>
    <row r="1048566" customFormat="false" ht="15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H37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Shikhar shukla</dc:creator>
  <dc:description/>
  <dc:language>en-IN</dc:language>
  <cp:lastModifiedBy/>
  <dcterms:modified xsi:type="dcterms:W3CDTF">2026-07-17T13:09:41Z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